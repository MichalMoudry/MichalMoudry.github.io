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oudr\OneDrive\Dokumenty\Škola\VŠE\Seminární práce\Excel v podnikové praxi\"/>
    </mc:Choice>
  </mc:AlternateContent>
  <xr:revisionPtr revIDLastSave="3399" documentId="8_{F2A7380D-0426-45EF-859D-8BD0995B14FF}" xr6:coauthVersionLast="40" xr6:coauthVersionMax="40" xr10:uidLastSave="{9071D826-92F4-4A3E-B7C3-6B95FB357777}"/>
  <bookViews>
    <workbookView xWindow="0" yWindow="0" windowWidth="22260" windowHeight="12645" tabRatio="569" activeTab="3" xr2:uid="{00000000-000D-0000-FFFF-FFFF00000000}"/>
  </bookViews>
  <sheets>
    <sheet name="Úvodní list" sheetId="2" r:id="rId1"/>
    <sheet name="Karta hry" sheetId="5" r:id="rId2"/>
    <sheet name="Data" sheetId="1" r:id="rId3"/>
    <sheet name="Výpočty" sheetId="10" r:id="rId4"/>
    <sheet name="KT1" sheetId="8" r:id="rId5"/>
    <sheet name="KT2" sheetId="9" r:id="rId6"/>
    <sheet name="KT3" sheetId="11" r:id="rId7"/>
    <sheet name="KT4" sheetId="12" r:id="rId8"/>
    <sheet name="Pomocný list" sheetId="7" r:id="rId9"/>
  </sheets>
  <definedNames>
    <definedName name="_xlnm._FilterDatabase" localSheetId="2" hidden="1">Data!$A$13:$R$167</definedName>
    <definedName name="_xlchart.v1.0" hidden="1">Výpočty!$A$19:$A$113</definedName>
    <definedName name="_xlchart.v1.1" hidden="1">Výpočty!$B$18</definedName>
    <definedName name="_xlchart.v1.10" hidden="1">Výpočty!$F$19:$F$113</definedName>
    <definedName name="_xlchart.v1.2" hidden="1">Výpočty!$B$19:$B$113</definedName>
    <definedName name="_xlchart.v1.3" hidden="1">Výpočty!$C$18</definedName>
    <definedName name="_xlchart.v1.4" hidden="1">Výpočty!$C$19:$C$113</definedName>
    <definedName name="_xlchart.v1.5" hidden="1">Výpočty!$D$18</definedName>
    <definedName name="_xlchart.v1.6" hidden="1">Výpočty!$D$19:$D$113</definedName>
    <definedName name="_xlchart.v1.7" hidden="1">Výpočty!$E$18</definedName>
    <definedName name="_xlchart.v1.8" hidden="1">Výpočty!$E$19:$E$113</definedName>
    <definedName name="_xlchart.v1.9" hidden="1">Výpočty!$F$18</definedName>
    <definedName name="_xlnm.Criteria">'Pomocný list'!$G$38:$J$39</definedName>
    <definedName name="Nativní_časová_osa_Datum_vydání">#N/A</definedName>
    <definedName name="Nativní_časová_osa_Datum_vydání1">#N/A</definedName>
    <definedName name="Nativní_časová_osa_Datum_vydání2">#N/A</definedName>
    <definedName name="Nativní_časová_osa_Datum_vydání3">#N/A</definedName>
    <definedName name="Průřez_Typ">#N/A</definedName>
    <definedName name="Průřez_Typ1">#N/A</definedName>
    <definedName name="Průřez_Typ2">#N/A</definedName>
    <definedName name="Průřez_Vydavatel">#N/A</definedName>
    <definedName name="Průřez_Vývojář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  <x15:timelineCacheRef r:id="rId19"/>
        <x15:timelineCacheRef r:id="rId2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5" i="7" l="1"/>
  <c r="D64" i="7"/>
  <c r="D63" i="7"/>
  <c r="I39" i="7" l="1"/>
  <c r="R20" i="10" l="1"/>
  <c r="F20" i="10" s="1"/>
  <c r="R21" i="10"/>
  <c r="F21" i="10" s="1"/>
  <c r="R22" i="10"/>
  <c r="F22" i="10" s="1"/>
  <c r="R23" i="10"/>
  <c r="F23" i="10" s="1"/>
  <c r="R24" i="10"/>
  <c r="F24" i="10" s="1"/>
  <c r="R25" i="10"/>
  <c r="F25" i="10" s="1"/>
  <c r="R26" i="10"/>
  <c r="F26" i="10" s="1"/>
  <c r="R27" i="10"/>
  <c r="F27" i="10" s="1"/>
  <c r="R28" i="10"/>
  <c r="F28" i="10" s="1"/>
  <c r="R29" i="10"/>
  <c r="F29" i="10" s="1"/>
  <c r="R30" i="10"/>
  <c r="F30" i="10" s="1"/>
  <c r="R31" i="10"/>
  <c r="F31" i="10" s="1"/>
  <c r="R32" i="10"/>
  <c r="F32" i="10" s="1"/>
  <c r="R33" i="10"/>
  <c r="F33" i="10" s="1"/>
  <c r="R34" i="10"/>
  <c r="F34" i="10" s="1"/>
  <c r="R35" i="10"/>
  <c r="F35" i="10" s="1"/>
  <c r="R36" i="10"/>
  <c r="F36" i="10" s="1"/>
  <c r="R37" i="10"/>
  <c r="F37" i="10" s="1"/>
  <c r="R38" i="10"/>
  <c r="F38" i="10" s="1"/>
  <c r="R39" i="10"/>
  <c r="F39" i="10" s="1"/>
  <c r="R40" i="10"/>
  <c r="F40" i="10" s="1"/>
  <c r="R41" i="10"/>
  <c r="F41" i="10" s="1"/>
  <c r="R42" i="10"/>
  <c r="F42" i="10" s="1"/>
  <c r="R43" i="10"/>
  <c r="F43" i="10" s="1"/>
  <c r="R44" i="10"/>
  <c r="F44" i="10" s="1"/>
  <c r="R45" i="10"/>
  <c r="F45" i="10" s="1"/>
  <c r="R46" i="10"/>
  <c r="F46" i="10" s="1"/>
  <c r="R47" i="10"/>
  <c r="F47" i="10" s="1"/>
  <c r="R48" i="10"/>
  <c r="F48" i="10" s="1"/>
  <c r="R49" i="10"/>
  <c r="F49" i="10" s="1"/>
  <c r="R50" i="10"/>
  <c r="F50" i="10" s="1"/>
  <c r="R51" i="10"/>
  <c r="F51" i="10" s="1"/>
  <c r="R52" i="10"/>
  <c r="F52" i="10" s="1"/>
  <c r="R53" i="10"/>
  <c r="F53" i="10" s="1"/>
  <c r="R54" i="10"/>
  <c r="F54" i="10" s="1"/>
  <c r="R55" i="10"/>
  <c r="F55" i="10" s="1"/>
  <c r="R56" i="10"/>
  <c r="F56" i="10" s="1"/>
  <c r="R57" i="10"/>
  <c r="F57" i="10" s="1"/>
  <c r="R58" i="10"/>
  <c r="F58" i="10" s="1"/>
  <c r="R59" i="10"/>
  <c r="F59" i="10" s="1"/>
  <c r="R60" i="10"/>
  <c r="F60" i="10" s="1"/>
  <c r="R61" i="10"/>
  <c r="F61" i="10" s="1"/>
  <c r="R62" i="10"/>
  <c r="F62" i="10" s="1"/>
  <c r="R63" i="10"/>
  <c r="F63" i="10" s="1"/>
  <c r="R64" i="10"/>
  <c r="F64" i="10" s="1"/>
  <c r="R65" i="10"/>
  <c r="F65" i="10" s="1"/>
  <c r="R66" i="10"/>
  <c r="F66" i="10" s="1"/>
  <c r="R67" i="10"/>
  <c r="F67" i="10" s="1"/>
  <c r="R68" i="10"/>
  <c r="F68" i="10" s="1"/>
  <c r="R69" i="10"/>
  <c r="F69" i="10" s="1"/>
  <c r="R70" i="10"/>
  <c r="F70" i="10" s="1"/>
  <c r="R71" i="10"/>
  <c r="F71" i="10" s="1"/>
  <c r="R72" i="10"/>
  <c r="F72" i="10" s="1"/>
  <c r="R73" i="10"/>
  <c r="F73" i="10" s="1"/>
  <c r="R74" i="10"/>
  <c r="F74" i="10" s="1"/>
  <c r="R75" i="10"/>
  <c r="F75" i="10" s="1"/>
  <c r="R76" i="10"/>
  <c r="F76" i="10" s="1"/>
  <c r="R77" i="10"/>
  <c r="F77" i="10" s="1"/>
  <c r="R78" i="10"/>
  <c r="F78" i="10" s="1"/>
  <c r="R79" i="10"/>
  <c r="F79" i="10" s="1"/>
  <c r="R80" i="10"/>
  <c r="F80" i="10" s="1"/>
  <c r="R81" i="10"/>
  <c r="F81" i="10" s="1"/>
  <c r="R82" i="10"/>
  <c r="F82" i="10" s="1"/>
  <c r="R83" i="10"/>
  <c r="F83" i="10" s="1"/>
  <c r="R84" i="10"/>
  <c r="F84" i="10" s="1"/>
  <c r="R85" i="10"/>
  <c r="F85" i="10" s="1"/>
  <c r="R86" i="10"/>
  <c r="F86" i="10" s="1"/>
  <c r="R87" i="10"/>
  <c r="F87" i="10" s="1"/>
  <c r="R88" i="10"/>
  <c r="F88" i="10" s="1"/>
  <c r="R89" i="10"/>
  <c r="F89" i="10" s="1"/>
  <c r="R90" i="10"/>
  <c r="F90" i="10" s="1"/>
  <c r="R91" i="10"/>
  <c r="F91" i="10" s="1"/>
  <c r="R92" i="10"/>
  <c r="F92" i="10" s="1"/>
  <c r="R93" i="10"/>
  <c r="F93" i="10" s="1"/>
  <c r="R94" i="10"/>
  <c r="F94" i="10" s="1"/>
  <c r="R95" i="10"/>
  <c r="F95" i="10" s="1"/>
  <c r="R96" i="10"/>
  <c r="F96" i="10" s="1"/>
  <c r="R97" i="10"/>
  <c r="F97" i="10" s="1"/>
  <c r="R98" i="10"/>
  <c r="F98" i="10" s="1"/>
  <c r="R99" i="10"/>
  <c r="F99" i="10" s="1"/>
  <c r="R100" i="10"/>
  <c r="F100" i="10" s="1"/>
  <c r="R101" i="10"/>
  <c r="F101" i="10" s="1"/>
  <c r="R102" i="10"/>
  <c r="F102" i="10" s="1"/>
  <c r="R103" i="10"/>
  <c r="F103" i="10" s="1"/>
  <c r="R104" i="10"/>
  <c r="F104" i="10" s="1"/>
  <c r="R105" i="10"/>
  <c r="F105" i="10" s="1"/>
  <c r="R106" i="10"/>
  <c r="F106" i="10" s="1"/>
  <c r="R107" i="10"/>
  <c r="F107" i="10" s="1"/>
  <c r="R108" i="10"/>
  <c r="F108" i="10" s="1"/>
  <c r="R109" i="10"/>
  <c r="F109" i="10" s="1"/>
  <c r="R110" i="10"/>
  <c r="F110" i="10" s="1"/>
  <c r="R111" i="10"/>
  <c r="F111" i="10" s="1"/>
  <c r="R112" i="10"/>
  <c r="F112" i="10" s="1"/>
  <c r="R113" i="10"/>
  <c r="F113" i="10" s="1"/>
  <c r="R19" i="10"/>
  <c r="F19" i="10" s="1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V20" i="10"/>
  <c r="E20" i="10" s="1"/>
  <c r="V21" i="10"/>
  <c r="E21" i="10" s="1"/>
  <c r="V22" i="10"/>
  <c r="E22" i="10" s="1"/>
  <c r="V23" i="10"/>
  <c r="E23" i="10" s="1"/>
  <c r="V24" i="10"/>
  <c r="E24" i="10" s="1"/>
  <c r="V25" i="10"/>
  <c r="E25" i="10" s="1"/>
  <c r="V26" i="10"/>
  <c r="E26" i="10" s="1"/>
  <c r="V27" i="10"/>
  <c r="E27" i="10" s="1"/>
  <c r="V28" i="10"/>
  <c r="E28" i="10" s="1"/>
  <c r="V29" i="10"/>
  <c r="E29" i="10" s="1"/>
  <c r="V30" i="10"/>
  <c r="E30" i="10" s="1"/>
  <c r="V31" i="10"/>
  <c r="E31" i="10" s="1"/>
  <c r="V32" i="10"/>
  <c r="E32" i="10" s="1"/>
  <c r="V33" i="10"/>
  <c r="E33" i="10" s="1"/>
  <c r="V34" i="10"/>
  <c r="E34" i="10" s="1"/>
  <c r="V35" i="10"/>
  <c r="E35" i="10" s="1"/>
  <c r="V36" i="10"/>
  <c r="E36" i="10" s="1"/>
  <c r="V37" i="10"/>
  <c r="E37" i="10" s="1"/>
  <c r="V38" i="10"/>
  <c r="E38" i="10" s="1"/>
  <c r="V39" i="10"/>
  <c r="E39" i="10" s="1"/>
  <c r="V40" i="10"/>
  <c r="E40" i="10" s="1"/>
  <c r="V41" i="10"/>
  <c r="E41" i="10" s="1"/>
  <c r="V42" i="10"/>
  <c r="E42" i="10" s="1"/>
  <c r="V43" i="10"/>
  <c r="E43" i="10" s="1"/>
  <c r="V44" i="10"/>
  <c r="E44" i="10" s="1"/>
  <c r="V45" i="10"/>
  <c r="E45" i="10" s="1"/>
  <c r="V46" i="10"/>
  <c r="E46" i="10" s="1"/>
  <c r="V47" i="10"/>
  <c r="E47" i="10" s="1"/>
  <c r="V48" i="10"/>
  <c r="E48" i="10" s="1"/>
  <c r="V49" i="10"/>
  <c r="E49" i="10" s="1"/>
  <c r="V50" i="10"/>
  <c r="E50" i="10" s="1"/>
  <c r="V51" i="10"/>
  <c r="E51" i="10" s="1"/>
  <c r="V52" i="10"/>
  <c r="E52" i="10" s="1"/>
  <c r="V53" i="10"/>
  <c r="E53" i="10" s="1"/>
  <c r="V54" i="10"/>
  <c r="E54" i="10" s="1"/>
  <c r="V55" i="10"/>
  <c r="E55" i="10" s="1"/>
  <c r="V56" i="10"/>
  <c r="E56" i="10" s="1"/>
  <c r="V57" i="10"/>
  <c r="E57" i="10" s="1"/>
  <c r="V58" i="10"/>
  <c r="E58" i="10" s="1"/>
  <c r="V59" i="10"/>
  <c r="E59" i="10" s="1"/>
  <c r="V60" i="10"/>
  <c r="E60" i="10" s="1"/>
  <c r="V61" i="10"/>
  <c r="E61" i="10" s="1"/>
  <c r="V62" i="10"/>
  <c r="E62" i="10" s="1"/>
  <c r="V63" i="10"/>
  <c r="E63" i="10" s="1"/>
  <c r="V64" i="10"/>
  <c r="E64" i="10" s="1"/>
  <c r="V65" i="10"/>
  <c r="E65" i="10" s="1"/>
  <c r="V66" i="10"/>
  <c r="E66" i="10" s="1"/>
  <c r="V67" i="10"/>
  <c r="E67" i="10" s="1"/>
  <c r="V68" i="10"/>
  <c r="E68" i="10" s="1"/>
  <c r="V69" i="10"/>
  <c r="E69" i="10" s="1"/>
  <c r="V70" i="10"/>
  <c r="E70" i="10" s="1"/>
  <c r="V71" i="10"/>
  <c r="E71" i="10" s="1"/>
  <c r="V72" i="10"/>
  <c r="E72" i="10" s="1"/>
  <c r="V73" i="10"/>
  <c r="E73" i="10" s="1"/>
  <c r="V74" i="10"/>
  <c r="E74" i="10" s="1"/>
  <c r="V75" i="10"/>
  <c r="E75" i="10" s="1"/>
  <c r="V76" i="10"/>
  <c r="E76" i="10" s="1"/>
  <c r="V77" i="10"/>
  <c r="E77" i="10" s="1"/>
  <c r="V78" i="10"/>
  <c r="E78" i="10" s="1"/>
  <c r="V79" i="10"/>
  <c r="E79" i="10" s="1"/>
  <c r="V80" i="10"/>
  <c r="E80" i="10" s="1"/>
  <c r="V81" i="10"/>
  <c r="E81" i="10" s="1"/>
  <c r="V82" i="10"/>
  <c r="E82" i="10" s="1"/>
  <c r="V83" i="10"/>
  <c r="E83" i="10" s="1"/>
  <c r="V84" i="10"/>
  <c r="E84" i="10" s="1"/>
  <c r="V85" i="10"/>
  <c r="E85" i="10" s="1"/>
  <c r="V86" i="10"/>
  <c r="E86" i="10" s="1"/>
  <c r="V87" i="10"/>
  <c r="E87" i="10" s="1"/>
  <c r="V88" i="10"/>
  <c r="E88" i="10" s="1"/>
  <c r="V89" i="10"/>
  <c r="E89" i="10" s="1"/>
  <c r="V90" i="10"/>
  <c r="E90" i="10" s="1"/>
  <c r="V91" i="10"/>
  <c r="E91" i="10" s="1"/>
  <c r="V92" i="10"/>
  <c r="E92" i="10" s="1"/>
  <c r="V93" i="10"/>
  <c r="E93" i="10" s="1"/>
  <c r="V94" i="10"/>
  <c r="E94" i="10" s="1"/>
  <c r="V95" i="10"/>
  <c r="E95" i="10" s="1"/>
  <c r="V96" i="10"/>
  <c r="E96" i="10" s="1"/>
  <c r="V97" i="10"/>
  <c r="E97" i="10" s="1"/>
  <c r="V98" i="10"/>
  <c r="E98" i="10" s="1"/>
  <c r="V99" i="10"/>
  <c r="E99" i="10" s="1"/>
  <c r="V100" i="10"/>
  <c r="E100" i="10" s="1"/>
  <c r="V101" i="10"/>
  <c r="E101" i="10" s="1"/>
  <c r="V102" i="10"/>
  <c r="E102" i="10" s="1"/>
  <c r="V103" i="10"/>
  <c r="E103" i="10" s="1"/>
  <c r="V104" i="10"/>
  <c r="E104" i="10" s="1"/>
  <c r="V105" i="10"/>
  <c r="E105" i="10" s="1"/>
  <c r="V106" i="10"/>
  <c r="E106" i="10" s="1"/>
  <c r="V107" i="10"/>
  <c r="E107" i="10" s="1"/>
  <c r="V108" i="10"/>
  <c r="E108" i="10" s="1"/>
  <c r="V109" i="10"/>
  <c r="E109" i="10" s="1"/>
  <c r="V110" i="10"/>
  <c r="E110" i="10" s="1"/>
  <c r="V111" i="10"/>
  <c r="E111" i="10" s="1"/>
  <c r="V112" i="10"/>
  <c r="E112" i="10" s="1"/>
  <c r="V113" i="10"/>
  <c r="E113" i="10" s="1"/>
  <c r="X19" i="10"/>
  <c r="W19" i="10"/>
  <c r="V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S20" i="10"/>
  <c r="D20" i="10" s="1"/>
  <c r="S21" i="10"/>
  <c r="D21" i="10" s="1"/>
  <c r="S22" i="10"/>
  <c r="D22" i="10" s="1"/>
  <c r="S23" i="10"/>
  <c r="D23" i="10" s="1"/>
  <c r="S24" i="10"/>
  <c r="D24" i="10" s="1"/>
  <c r="S25" i="10"/>
  <c r="D25" i="10" s="1"/>
  <c r="S26" i="10"/>
  <c r="D26" i="10" s="1"/>
  <c r="S27" i="10"/>
  <c r="D27" i="10" s="1"/>
  <c r="S28" i="10"/>
  <c r="D28" i="10" s="1"/>
  <c r="S29" i="10"/>
  <c r="D29" i="10" s="1"/>
  <c r="S30" i="10"/>
  <c r="D30" i="10" s="1"/>
  <c r="S31" i="10"/>
  <c r="D31" i="10" s="1"/>
  <c r="S32" i="10"/>
  <c r="D32" i="10" s="1"/>
  <c r="S33" i="10"/>
  <c r="D33" i="10" s="1"/>
  <c r="S34" i="10"/>
  <c r="D34" i="10" s="1"/>
  <c r="S35" i="10"/>
  <c r="D35" i="10" s="1"/>
  <c r="S36" i="10"/>
  <c r="D36" i="10" s="1"/>
  <c r="S37" i="10"/>
  <c r="D37" i="10" s="1"/>
  <c r="S38" i="10"/>
  <c r="D38" i="10" s="1"/>
  <c r="S39" i="10"/>
  <c r="D39" i="10" s="1"/>
  <c r="S40" i="10"/>
  <c r="D40" i="10" s="1"/>
  <c r="S41" i="10"/>
  <c r="D41" i="10" s="1"/>
  <c r="S42" i="10"/>
  <c r="D42" i="10" s="1"/>
  <c r="S43" i="10"/>
  <c r="D43" i="10" s="1"/>
  <c r="S44" i="10"/>
  <c r="D44" i="10" s="1"/>
  <c r="S45" i="10"/>
  <c r="D45" i="10" s="1"/>
  <c r="S46" i="10"/>
  <c r="D46" i="10" s="1"/>
  <c r="S47" i="10"/>
  <c r="D47" i="10" s="1"/>
  <c r="S48" i="10"/>
  <c r="D48" i="10" s="1"/>
  <c r="S49" i="10"/>
  <c r="D49" i="10" s="1"/>
  <c r="S50" i="10"/>
  <c r="D50" i="10" s="1"/>
  <c r="S51" i="10"/>
  <c r="D51" i="10" s="1"/>
  <c r="S52" i="10"/>
  <c r="D52" i="10" s="1"/>
  <c r="S53" i="10"/>
  <c r="D53" i="10" s="1"/>
  <c r="S54" i="10"/>
  <c r="D54" i="10" s="1"/>
  <c r="S55" i="10"/>
  <c r="D55" i="10" s="1"/>
  <c r="S56" i="10"/>
  <c r="D56" i="10" s="1"/>
  <c r="S57" i="10"/>
  <c r="D57" i="10" s="1"/>
  <c r="S58" i="10"/>
  <c r="D58" i="10" s="1"/>
  <c r="S59" i="10"/>
  <c r="D59" i="10" s="1"/>
  <c r="S60" i="10"/>
  <c r="D60" i="10" s="1"/>
  <c r="S61" i="10"/>
  <c r="D61" i="10" s="1"/>
  <c r="S62" i="10"/>
  <c r="D62" i="10" s="1"/>
  <c r="S63" i="10"/>
  <c r="D63" i="10" s="1"/>
  <c r="S64" i="10"/>
  <c r="D64" i="10" s="1"/>
  <c r="S65" i="10"/>
  <c r="D65" i="10" s="1"/>
  <c r="S66" i="10"/>
  <c r="D66" i="10" s="1"/>
  <c r="S67" i="10"/>
  <c r="D67" i="10" s="1"/>
  <c r="S68" i="10"/>
  <c r="D68" i="10" s="1"/>
  <c r="S69" i="10"/>
  <c r="D69" i="10" s="1"/>
  <c r="S70" i="10"/>
  <c r="D70" i="10" s="1"/>
  <c r="S71" i="10"/>
  <c r="D71" i="10" s="1"/>
  <c r="S72" i="10"/>
  <c r="D72" i="10" s="1"/>
  <c r="S73" i="10"/>
  <c r="D73" i="10" s="1"/>
  <c r="S74" i="10"/>
  <c r="D74" i="10" s="1"/>
  <c r="S75" i="10"/>
  <c r="D75" i="10" s="1"/>
  <c r="S76" i="10"/>
  <c r="D76" i="10" s="1"/>
  <c r="S77" i="10"/>
  <c r="D77" i="10" s="1"/>
  <c r="S78" i="10"/>
  <c r="D78" i="10" s="1"/>
  <c r="S79" i="10"/>
  <c r="D79" i="10" s="1"/>
  <c r="S80" i="10"/>
  <c r="D80" i="10" s="1"/>
  <c r="S81" i="10"/>
  <c r="D81" i="10" s="1"/>
  <c r="S82" i="10"/>
  <c r="D82" i="10" s="1"/>
  <c r="S83" i="10"/>
  <c r="D83" i="10" s="1"/>
  <c r="S84" i="10"/>
  <c r="D84" i="10" s="1"/>
  <c r="S85" i="10"/>
  <c r="S86" i="10"/>
  <c r="D86" i="10" s="1"/>
  <c r="S87" i="10"/>
  <c r="D87" i="10" s="1"/>
  <c r="S88" i="10"/>
  <c r="D88" i="10" s="1"/>
  <c r="S89" i="10"/>
  <c r="D89" i="10" s="1"/>
  <c r="S90" i="10"/>
  <c r="D90" i="10" s="1"/>
  <c r="S91" i="10"/>
  <c r="D91" i="10" s="1"/>
  <c r="S92" i="10"/>
  <c r="D92" i="10" s="1"/>
  <c r="S93" i="10"/>
  <c r="D93" i="10" s="1"/>
  <c r="S94" i="10"/>
  <c r="D94" i="10" s="1"/>
  <c r="S95" i="10"/>
  <c r="D95" i="10" s="1"/>
  <c r="S96" i="10"/>
  <c r="D96" i="10" s="1"/>
  <c r="S97" i="10"/>
  <c r="D97" i="10" s="1"/>
  <c r="S98" i="10"/>
  <c r="D98" i="10" s="1"/>
  <c r="S99" i="10"/>
  <c r="D99" i="10" s="1"/>
  <c r="S100" i="10"/>
  <c r="D100" i="10" s="1"/>
  <c r="S101" i="10"/>
  <c r="D101" i="10" s="1"/>
  <c r="S102" i="10"/>
  <c r="D102" i="10" s="1"/>
  <c r="S103" i="10"/>
  <c r="D103" i="10" s="1"/>
  <c r="S104" i="10"/>
  <c r="D104" i="10" s="1"/>
  <c r="S105" i="10"/>
  <c r="D105" i="10" s="1"/>
  <c r="S106" i="10"/>
  <c r="D106" i="10" s="1"/>
  <c r="S107" i="10"/>
  <c r="D107" i="10" s="1"/>
  <c r="S108" i="10"/>
  <c r="D108" i="10" s="1"/>
  <c r="S109" i="10"/>
  <c r="D109" i="10" s="1"/>
  <c r="S110" i="10"/>
  <c r="D110" i="10" s="1"/>
  <c r="S111" i="10"/>
  <c r="D111" i="10" s="1"/>
  <c r="S112" i="10"/>
  <c r="D112" i="10" s="1"/>
  <c r="S113" i="10"/>
  <c r="D113" i="10" s="1"/>
  <c r="U19" i="10"/>
  <c r="T19" i="10"/>
  <c r="S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9" i="10"/>
  <c r="D85" i="10" l="1"/>
  <c r="D19" i="10"/>
  <c r="E19" i="10"/>
  <c r="R2" i="7"/>
  <c r="Q2" i="7"/>
  <c r="P2" i="7"/>
  <c r="O2" i="7"/>
  <c r="N2" i="7"/>
  <c r="M2" i="7"/>
  <c r="L2" i="7"/>
  <c r="K2" i="7"/>
  <c r="J2" i="7"/>
  <c r="D60" i="7" l="1"/>
  <c r="G63" i="7" l="1"/>
  <c r="E57" i="7" l="1"/>
  <c r="E58" i="7"/>
  <c r="E59" i="7"/>
  <c r="E65" i="7" l="1"/>
  <c r="E64" i="7"/>
  <c r="E63" i="7"/>
  <c r="O8" i="1"/>
  <c r="O7" i="1"/>
  <c r="O6" i="1"/>
  <c r="O9" i="1" l="1"/>
  <c r="D59" i="7"/>
  <c r="D57" i="7"/>
  <c r="D58" i="7"/>
  <c r="T39" i="7" l="1"/>
  <c r="B53" i="7" s="1"/>
  <c r="T40" i="7"/>
  <c r="C53" i="7" s="1"/>
  <c r="H39" i="7" s="1"/>
  <c r="E39" i="7"/>
  <c r="J39" i="7" s="1"/>
  <c r="G39" i="7" l="1"/>
  <c r="T3" i="7"/>
  <c r="G2" i="7" s="1"/>
  <c r="T2" i="7"/>
  <c r="F2" i="7" s="1"/>
  <c r="J34" i="7"/>
  <c r="I2" i="7" l="1"/>
  <c r="H2" i="7" l="1"/>
  <c r="E2" i="7"/>
  <c r="D2" i="7"/>
  <c r="C2" i="7"/>
  <c r="A2" i="7"/>
  <c r="B2" i="7"/>
</calcChain>
</file>

<file path=xl/sharedStrings.xml><?xml version="1.0" encoding="utf-8"?>
<sst xmlns="http://schemas.openxmlformats.org/spreadsheetml/2006/main" count="1991" uniqueCount="509">
  <si>
    <t>Vývojář</t>
  </si>
  <si>
    <t>Vydavatel</t>
  </si>
  <si>
    <t>Žánry</t>
  </si>
  <si>
    <t>The Witcher 3</t>
  </si>
  <si>
    <t>Platformy</t>
  </si>
  <si>
    <t>Průměrná doba dohrání</t>
  </si>
  <si>
    <t>CD Project RED</t>
  </si>
  <si>
    <t xml:space="preserve">Warner Bros. Interactive Entertainment </t>
  </si>
  <si>
    <t>Datum vydání</t>
  </si>
  <si>
    <t>Počet uživatelů (PC)</t>
  </si>
  <si>
    <t>Počet uživatelů (Xbox One)</t>
  </si>
  <si>
    <t>PC;Xbox One;Playstation 4</t>
  </si>
  <si>
    <t>Počet uživatelů (Playstation 4)</t>
  </si>
  <si>
    <t>Typ</t>
  </si>
  <si>
    <t>Název</t>
  </si>
  <si>
    <t>Hra</t>
  </si>
  <si>
    <t>The Witcher 3: Hearts of Stone</t>
  </si>
  <si>
    <t>Rozšíření</t>
  </si>
  <si>
    <t>Hodnocení uživatelů (PC)</t>
  </si>
  <si>
    <t xml:space="preserve">The Witcher 3: Blood and Wine </t>
  </si>
  <si>
    <t>Bioshock</t>
  </si>
  <si>
    <t>PC;Xbox One;Playstation 4;Xbox 360;PlayStation 3</t>
  </si>
  <si>
    <t>2K Games</t>
  </si>
  <si>
    <t>Akční;FPS;RPG;Horror</t>
  </si>
  <si>
    <t>Marvel's Spider-Man</t>
  </si>
  <si>
    <t>Insomniac Games</t>
  </si>
  <si>
    <t>Sony Interactive Entertainment</t>
  </si>
  <si>
    <t>-</t>
  </si>
  <si>
    <t>Playstation 4</t>
  </si>
  <si>
    <t>Square Enix</t>
  </si>
  <si>
    <t>Akční;Platformer;Adventura</t>
  </si>
  <si>
    <t>Akční;Adventura</t>
  </si>
  <si>
    <t>Ori and the Blind Forest: Definitive Edition</t>
  </si>
  <si>
    <t>Moon Studios</t>
  </si>
  <si>
    <t>Microsoft Studios</t>
  </si>
  <si>
    <t>PC;Xbox One</t>
  </si>
  <si>
    <t>Quantum Break</t>
  </si>
  <si>
    <t>Remedy Entertainment</t>
  </si>
  <si>
    <t>Bioshock Infinite</t>
  </si>
  <si>
    <t>Akční;Adventura;FPS</t>
  </si>
  <si>
    <t>BioShock Infinite: Burial at Sea - Episode 1</t>
  </si>
  <si>
    <t>Irrational Games</t>
  </si>
  <si>
    <t>BioShock Infinite: Burial at Sea - Episode 2</t>
  </si>
  <si>
    <t>Pillars of Eternity II: Deadfire</t>
  </si>
  <si>
    <t>Obsidian Entertainment</t>
  </si>
  <si>
    <t>RTS;RPG</t>
  </si>
  <si>
    <t>PC</t>
  </si>
  <si>
    <t>S.T.A.L.K.E.R.: Shadow of Chernobyl</t>
  </si>
  <si>
    <t>GSC Game World</t>
  </si>
  <si>
    <t>THQ</t>
  </si>
  <si>
    <t>FPS</t>
  </si>
  <si>
    <t>Red Dead Redemption 2</t>
  </si>
  <si>
    <t>Hollow Knight</t>
  </si>
  <si>
    <t>Life Is Strange</t>
  </si>
  <si>
    <t>Rockstar Studios</t>
  </si>
  <si>
    <t>Akční;Adventura;FPS;Otevřený svět</t>
  </si>
  <si>
    <t>Akční;RPG;Adventura;Otevřený svět</t>
  </si>
  <si>
    <t>Akční;Adventura;Otevřený svět</t>
  </si>
  <si>
    <t>PC;Xbox One;Playstation 4;Nintendo Switch</t>
  </si>
  <si>
    <t>Team Cherry</t>
  </si>
  <si>
    <t>Platformer;RPG</t>
  </si>
  <si>
    <t>Akční;Adventura;Platformer;RPG</t>
  </si>
  <si>
    <t>The Legend of Zelda: Breath of the Wild</t>
  </si>
  <si>
    <t>Nintendo EPD</t>
  </si>
  <si>
    <t>Nintendo</t>
  </si>
  <si>
    <t>Nintendo Switch;Wii U</t>
  </si>
  <si>
    <t>Dontnod Entertainment</t>
  </si>
  <si>
    <t>Adventura</t>
  </si>
  <si>
    <t>M</t>
  </si>
  <si>
    <t>Hodnocení ESRB</t>
  </si>
  <si>
    <t>Portal 2</t>
  </si>
  <si>
    <t>Valve Corporation</t>
  </si>
  <si>
    <t>FPS;Platformer</t>
  </si>
  <si>
    <t>PC;Xbox One;Xbox 360;Playstation 3</t>
  </si>
  <si>
    <t>Dishonored</t>
  </si>
  <si>
    <t>Arkane Studios</t>
  </si>
  <si>
    <t>Bethesda Softworks</t>
  </si>
  <si>
    <t>Dishonored: The Brigmore Witches</t>
  </si>
  <si>
    <t>Dishonored: The Knife of Dunwall</t>
  </si>
  <si>
    <t>Dishonored 2</t>
  </si>
  <si>
    <t>Dishonored: Death of the Outsider</t>
  </si>
  <si>
    <t>Fallout 3</t>
  </si>
  <si>
    <t>Fallout 4</t>
  </si>
  <si>
    <t>Bethesda Game Studios</t>
  </si>
  <si>
    <t>Akční;RPG;Adventura;Otevřený svět;FPS</t>
  </si>
  <si>
    <t>Fallout 4: Far Harbor</t>
  </si>
  <si>
    <t>Electronic Arts</t>
  </si>
  <si>
    <t>Akční;RPG;Stealth</t>
  </si>
  <si>
    <t>PC;Xbox One;Xbox 360</t>
  </si>
  <si>
    <t>The Elder Scrolls V: Skyrim</t>
  </si>
  <si>
    <t>Stardew Valley</t>
  </si>
  <si>
    <t>ConcernedApe</t>
  </si>
  <si>
    <t>Chucklefish</t>
  </si>
  <si>
    <t>RPG;Simulace</t>
  </si>
  <si>
    <t>Middle-Earth: Shadow of Mordor</t>
  </si>
  <si>
    <t>Akční;RPG;Otevřený svět</t>
  </si>
  <si>
    <t>Monolith Productions</t>
  </si>
  <si>
    <t>Wolfenstein: The New Order</t>
  </si>
  <si>
    <t>Mass Effect</t>
  </si>
  <si>
    <t>Microsoft Studios;Electronic Arts</t>
  </si>
  <si>
    <t>Akční;RPG</t>
  </si>
  <si>
    <t>Mass Effect 2</t>
  </si>
  <si>
    <t>BioWare</t>
  </si>
  <si>
    <t>God Of War (2018)</t>
  </si>
  <si>
    <t>SIE Santa Monica Studio</t>
  </si>
  <si>
    <t>Shadow of the Tomb Raider</t>
  </si>
  <si>
    <t>Eidos-Montréal</t>
  </si>
  <si>
    <t>Rise of the Tomb Raider</t>
  </si>
  <si>
    <t>Crystal Dynamics</t>
  </si>
  <si>
    <t>PC;Xbox One;Playstation 4;Xbox 360</t>
  </si>
  <si>
    <t>Half-Life 2</t>
  </si>
  <si>
    <t>PC;Xbox One;Xbox 360;Playstation 3;Xbox</t>
  </si>
  <si>
    <t>Far Cry 3</t>
  </si>
  <si>
    <t>Ubisoft Montreal</t>
  </si>
  <si>
    <t>Ubisoft</t>
  </si>
  <si>
    <t>FPS;Otevřený svět;RPG</t>
  </si>
  <si>
    <t>Assassin's Creed IV: Black Flag</t>
  </si>
  <si>
    <t>Mad Max (2015)</t>
  </si>
  <si>
    <t>Avalanche Studios</t>
  </si>
  <si>
    <t>Far Cry 5</t>
  </si>
  <si>
    <t>Red Dead Redemption</t>
  </si>
  <si>
    <t>Rockstar Games</t>
  </si>
  <si>
    <t>Xbox One;Xbox 360;Playstation 3</t>
  </si>
  <si>
    <t>Left 4 Dead 2</t>
  </si>
  <si>
    <t>FPS;Horror</t>
  </si>
  <si>
    <t>L.A. Noire</t>
  </si>
  <si>
    <t>PC;Xbox One;Playstation 4;Xbox 360;PlayStation 3;Nintendo Switch</t>
  </si>
  <si>
    <t>Spec Ops: The Line</t>
  </si>
  <si>
    <t>Yager Development</t>
  </si>
  <si>
    <t>Metro 2033</t>
  </si>
  <si>
    <t>4A Games</t>
  </si>
  <si>
    <t>Deep Silver</t>
  </si>
  <si>
    <t>PC;Xbox One; Playstation 4;Xbox 360;Playstation 3</t>
  </si>
  <si>
    <t>Final Fantasy XV</t>
  </si>
  <si>
    <t>Square Enix Business Division 2</t>
  </si>
  <si>
    <t>Prey (2017)</t>
  </si>
  <si>
    <t>FPS;RPG;Horror</t>
  </si>
  <si>
    <t>Prey: Mooncrash</t>
  </si>
  <si>
    <t>Cuphead</t>
  </si>
  <si>
    <t>Studio MDHR</t>
  </si>
  <si>
    <t>Akční;Platformer</t>
  </si>
  <si>
    <t>Metro: Last Light</t>
  </si>
  <si>
    <t>Hellblade: Senua's Sacrifice</t>
  </si>
  <si>
    <t>Ninja Theory</t>
  </si>
  <si>
    <t>Akční;Adventura;Hack and Slash</t>
  </si>
  <si>
    <t>Far Cry 4</t>
  </si>
  <si>
    <t>Wolfenstein II: The New Colossus</t>
  </si>
  <si>
    <t>Machine Games</t>
  </si>
  <si>
    <t>Sunset Overdrive</t>
  </si>
  <si>
    <t>Akční</t>
  </si>
  <si>
    <t>Papers, Please</t>
  </si>
  <si>
    <t>Lucas Pope</t>
  </si>
  <si>
    <t>Assassin's Creed</t>
  </si>
  <si>
    <t>PC;Xbox One;Xbox 360;PlayStation 3</t>
  </si>
  <si>
    <t>Wolfenstein: The Old Blood</t>
  </si>
  <si>
    <t>Ghost Town Games</t>
  </si>
  <si>
    <t>Team17</t>
  </si>
  <si>
    <t>Forza Horizon 4</t>
  </si>
  <si>
    <t>Playground Games</t>
  </si>
  <si>
    <t>Závodní;Otevřený svět</t>
  </si>
  <si>
    <t>The Wolf Among Us</t>
  </si>
  <si>
    <t>Telltale Games</t>
  </si>
  <si>
    <t>Mafia II</t>
  </si>
  <si>
    <t>2K Czech</t>
  </si>
  <si>
    <t>Bloodborne</t>
  </si>
  <si>
    <t>From Software</t>
  </si>
  <si>
    <t>Sony Computer Entertainment</t>
  </si>
  <si>
    <t>Middle-Earth: Shadow of War</t>
  </si>
  <si>
    <t>Warner Bros. Interactive Entertainment</t>
  </si>
  <si>
    <t>Akční;Adventura;RPG</t>
  </si>
  <si>
    <t>Assassin's Creed II</t>
  </si>
  <si>
    <t>PC;Xbox One;Playstation 4;Xbox 360;PlayStation 3;Playstation Vita</t>
  </si>
  <si>
    <t>PC;Xbox One;Playstation 4;Nintendo Switch;Playstation Vita</t>
  </si>
  <si>
    <t>PC;iOS</t>
  </si>
  <si>
    <t>Tales from the Borderlands</t>
  </si>
  <si>
    <t>Oxenfree</t>
  </si>
  <si>
    <t>Night School Studio</t>
  </si>
  <si>
    <t>The Evil Within 2</t>
  </si>
  <si>
    <t>Tango Gameworks</t>
  </si>
  <si>
    <t>Akční;Horror</t>
  </si>
  <si>
    <t>Darkest Dungeon</t>
  </si>
  <si>
    <t>Red Hook Studios</t>
  </si>
  <si>
    <t>Darkest Dungeon: The Crimson Court</t>
  </si>
  <si>
    <t>Outlast</t>
  </si>
  <si>
    <t>Red Barrels</t>
  </si>
  <si>
    <t>Horror</t>
  </si>
  <si>
    <t>Watch Dogs 2</t>
  </si>
  <si>
    <t>What Remains of Edith Finch</t>
  </si>
  <si>
    <t>Giant Sparrow</t>
  </si>
  <si>
    <t>Annapurna Pictures</t>
  </si>
  <si>
    <t>Alien: Isolation</t>
  </si>
  <si>
    <t>The Creative Assembly</t>
  </si>
  <si>
    <t>Sega</t>
  </si>
  <si>
    <t>Horror;Stealth</t>
  </si>
  <si>
    <t>The Last of Us</t>
  </si>
  <si>
    <t>Naughty Dog</t>
  </si>
  <si>
    <t>Akční;Adventura;Horror</t>
  </si>
  <si>
    <t>Playstation 4;Playstation 3</t>
  </si>
  <si>
    <t>Dying Light</t>
  </si>
  <si>
    <t>Techland</t>
  </si>
  <si>
    <t>Akční;Adventura;Horror;Otevřený svět</t>
  </si>
  <si>
    <t>Assassin's Creed: Revelations</t>
  </si>
  <si>
    <t>The Evil Within</t>
  </si>
  <si>
    <t>Ryse: Son of Rome</t>
  </si>
  <si>
    <t>Crytek</t>
  </si>
  <si>
    <t>Kingdom Come: Deliverance</t>
  </si>
  <si>
    <t>Warhorse Studios</t>
  </si>
  <si>
    <t>Sleeping Dogs</t>
  </si>
  <si>
    <t>Sleeping Dogs: The Year of the Snake</t>
  </si>
  <si>
    <t>This War of Mine</t>
  </si>
  <si>
    <t>11 bit studios</t>
  </si>
  <si>
    <t>Deus Ex: Human Revolution</t>
  </si>
  <si>
    <t>Eidos Montreal</t>
  </si>
  <si>
    <t>The Binding of Isaac</t>
  </si>
  <si>
    <t>Edmund McMillen;Florian Himsl</t>
  </si>
  <si>
    <t>Edmund McMillen</t>
  </si>
  <si>
    <t>Little Nightmares</t>
  </si>
  <si>
    <t>Tarsier Studios</t>
  </si>
  <si>
    <t>BANDAI NAMCO Entertainment</t>
  </si>
  <si>
    <t>Adventura;Platformer</t>
  </si>
  <si>
    <t>Vampyr</t>
  </si>
  <si>
    <t>Focus Home Interactive</t>
  </si>
  <si>
    <t>Beholder</t>
  </si>
  <si>
    <t>Warm Lamp Games</t>
  </si>
  <si>
    <t>Alawar Entertainment</t>
  </si>
  <si>
    <t>Akční;Adventura;Stealth;Strategie</t>
  </si>
  <si>
    <t>Adventura;Strategie</t>
  </si>
  <si>
    <t>Strategie</t>
  </si>
  <si>
    <t>Strategie;Simulace</t>
  </si>
  <si>
    <t>RPG;Strategie</t>
  </si>
  <si>
    <t>Broforce</t>
  </si>
  <si>
    <t>Free Lives</t>
  </si>
  <si>
    <t>Devolver Digital</t>
  </si>
  <si>
    <t>PC;Playstation 4</t>
  </si>
  <si>
    <t>The Surge</t>
  </si>
  <si>
    <t>Deck13</t>
  </si>
  <si>
    <t>The Swapper</t>
  </si>
  <si>
    <t>Facepalm Games</t>
  </si>
  <si>
    <t>Platformer;Logické</t>
  </si>
  <si>
    <t>PC;Xbox One;Playstation 4;Playstation 3;Wii U</t>
  </si>
  <si>
    <t>Last Day of June</t>
  </si>
  <si>
    <t>Ovosonico</t>
  </si>
  <si>
    <t>505 Games</t>
  </si>
  <si>
    <t>PC;Playstation 4;Nintendo Switch</t>
  </si>
  <si>
    <t>Dark Souls</t>
  </si>
  <si>
    <t>FromSoftware</t>
  </si>
  <si>
    <t>Beyond Good &amp; Evil</t>
  </si>
  <si>
    <t>Gunpoint</t>
  </si>
  <si>
    <t>Suspicious Developments</t>
  </si>
  <si>
    <t>Akční;Strategie</t>
  </si>
  <si>
    <t>Inside</t>
  </si>
  <si>
    <t>PlayDead</t>
  </si>
  <si>
    <t>Hotline Miami 2: Wrong Number</t>
  </si>
  <si>
    <t>Dennaton Games</t>
  </si>
  <si>
    <t>PC;Playstation 4;Playstation 3;Playstation Vita</t>
  </si>
  <si>
    <t>Gears of War 4</t>
  </si>
  <si>
    <t>The Coalition</t>
  </si>
  <si>
    <t>Crysis</t>
  </si>
  <si>
    <t>Crytek Frankfurt</t>
  </si>
  <si>
    <t>Thronebreaker: The Witcher Tales</t>
  </si>
  <si>
    <t>RPG</t>
  </si>
  <si>
    <t>Kingdom: Classic</t>
  </si>
  <si>
    <t>Raw Fury</t>
  </si>
  <si>
    <t>Forza Horizon 3</t>
  </si>
  <si>
    <t>Forza Horizon 3: Blizzard Mountain</t>
  </si>
  <si>
    <t>Dead Rising 4</t>
  </si>
  <si>
    <t>Capcom Game Studio Vancouver</t>
  </si>
  <si>
    <t>The Banner Saga 2</t>
  </si>
  <si>
    <t>Stoic</t>
  </si>
  <si>
    <t>Versus Evil</t>
  </si>
  <si>
    <t>Far Cry</t>
  </si>
  <si>
    <t>PC;Xbox 360;Playstation 3;Xbox</t>
  </si>
  <si>
    <t>Plants vs. Zombies</t>
  </si>
  <si>
    <t>PopCap Games</t>
  </si>
  <si>
    <t>E</t>
  </si>
  <si>
    <t>Strategické</t>
  </si>
  <si>
    <t>PC;Xbox 360;Playstation 3;Xbox One;Playstation Vita</t>
  </si>
  <si>
    <t>Valiant Hearts: The Great War</t>
  </si>
  <si>
    <t>Ubisoft Montpellier</t>
  </si>
  <si>
    <t>Observer</t>
  </si>
  <si>
    <t>Bloober Team</t>
  </si>
  <si>
    <t>Aspyr</t>
  </si>
  <si>
    <t>Gears of War 3</t>
  </si>
  <si>
    <t>Epic Games</t>
  </si>
  <si>
    <t>Xbox One;Xbox 360</t>
  </si>
  <si>
    <t>Gears of War 3: RAAM's Shadow</t>
  </si>
  <si>
    <t>Frostpunk</t>
  </si>
  <si>
    <t>Forza Motorsport 7</t>
  </si>
  <si>
    <t>Turn 10 Studios</t>
  </si>
  <si>
    <t>Závodní;Simulace</t>
  </si>
  <si>
    <t>State of Decay</t>
  </si>
  <si>
    <t>Undead Labs</t>
  </si>
  <si>
    <t>Crackdown</t>
  </si>
  <si>
    <t>Realtime Worlds</t>
  </si>
  <si>
    <t>Mafia: The City of Lost Heaven</t>
  </si>
  <si>
    <t>Illusion Softworks</t>
  </si>
  <si>
    <t>Gathering of Developers</t>
  </si>
  <si>
    <t>The Order: 1886</t>
  </si>
  <si>
    <t>Gears of War 2</t>
  </si>
  <si>
    <t>Gears of War 2: Road to Ruin</t>
  </si>
  <si>
    <t>Forza Horizon 2</t>
  </si>
  <si>
    <t>Halo Wars</t>
  </si>
  <si>
    <t>RTS</t>
  </si>
  <si>
    <t>Banjo-Kazooie</t>
  </si>
  <si>
    <t>Rare</t>
  </si>
  <si>
    <t>Akční;Adventura;Platformer</t>
  </si>
  <si>
    <t>Gears of War</t>
  </si>
  <si>
    <t>Activision</t>
  </si>
  <si>
    <t>Killzone: Shadow Fall</t>
  </si>
  <si>
    <t>Guerrilla Games</t>
  </si>
  <si>
    <t>Terrible Toybox</t>
  </si>
  <si>
    <t>Thimbleweed Park</t>
  </si>
  <si>
    <t>Return to Castle Wolfenstein</t>
  </si>
  <si>
    <t>PC;Xbox;Playstation 2</t>
  </si>
  <si>
    <t>D4: Dark Dreams Don't Die</t>
  </si>
  <si>
    <t>Access Games</t>
  </si>
  <si>
    <t>Forza Horizon</t>
  </si>
  <si>
    <t>Závodní</t>
  </si>
  <si>
    <t>Chuchel</t>
  </si>
  <si>
    <t>Amanita Design</t>
  </si>
  <si>
    <t>We Happy Few</t>
  </si>
  <si>
    <t>Compulsion Games</t>
  </si>
  <si>
    <t>Gearbox Publishing</t>
  </si>
  <si>
    <t>Forza Horizon: Rally</t>
  </si>
  <si>
    <t>Forza Motorsport 6</t>
  </si>
  <si>
    <t>Xbox One</t>
  </si>
  <si>
    <t>ReCore</t>
  </si>
  <si>
    <t>Borderlands 2</t>
  </si>
  <si>
    <t>FPS;RPG;Otevřený svět;Akční</t>
  </si>
  <si>
    <t>Fallout: New Vegas</t>
  </si>
  <si>
    <t>Akční;Adventura;Otevřený svět;RPG</t>
  </si>
  <si>
    <t>T</t>
  </si>
  <si>
    <t>Tomb Raider (2013)</t>
  </si>
  <si>
    <t>E 10+</t>
  </si>
  <si>
    <t>Assassin's Creed: Odyssey</t>
  </si>
  <si>
    <t>Assassin's Creed: Origins</t>
  </si>
  <si>
    <t>Assassin's Creed: Syndicate</t>
  </si>
  <si>
    <t>Assassin’s Creed: Rogue</t>
  </si>
  <si>
    <t>PC;Xbox One;Playstation 4;Xbox 360;Playstation 3</t>
  </si>
  <si>
    <t>Assassin's Creed: Unity</t>
  </si>
  <si>
    <t>Overcooked 2</t>
  </si>
  <si>
    <t>Crysis 2</t>
  </si>
  <si>
    <t>Nier: Automata</t>
  </si>
  <si>
    <t>PlatinumGames</t>
  </si>
  <si>
    <t>Ubisoft Quebec</t>
  </si>
  <si>
    <t>Ubisoft Sofia</t>
  </si>
  <si>
    <t>The Witcher 2: Assassins of Kings</t>
  </si>
  <si>
    <t>Akční;RPG;Adventura</t>
  </si>
  <si>
    <t>Grand Theft Auto V</t>
  </si>
  <si>
    <t>Rockstar North</t>
  </si>
  <si>
    <t>Moudrý Michal</t>
  </si>
  <si>
    <t>xname:</t>
  </si>
  <si>
    <t>moum02</t>
  </si>
  <si>
    <t>Tabulka her a rozšíření</t>
  </si>
  <si>
    <t>3 427</t>
  </si>
  <si>
    <t>PC;Playstation 2;Xbox</t>
  </si>
  <si>
    <t>Detroit: Become Human</t>
  </si>
  <si>
    <t>Quantic Dream</t>
  </si>
  <si>
    <t>PC;Xbox One;Xbox 360;PlayStation 3;Playstation Vita</t>
  </si>
  <si>
    <t>Persona 5</t>
  </si>
  <si>
    <t>Atlus</t>
  </si>
  <si>
    <t>Simulace;RPG</t>
  </si>
  <si>
    <t>Playstation 4;PlayStation 3</t>
  </si>
  <si>
    <t>Uncharted: The Lost Legacy</t>
  </si>
  <si>
    <t>Uncharted 4: A Thief's End</t>
  </si>
  <si>
    <t>Seminární práce - zadání projektu</t>
  </si>
  <si>
    <r>
      <t xml:space="preserve">Data byla převzata z těchto zdrojů: </t>
    </r>
    <r>
      <rPr>
        <i/>
        <sz val="11"/>
        <color theme="1"/>
        <rFont val="Calibri"/>
        <family val="2"/>
        <scheme val="minor"/>
      </rPr>
      <t>www.esrb.org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www.howlongtobeat.com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www.xbox.com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www.store.steampowered.com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www.store.playstation.com/en-cz/</t>
    </r>
  </si>
  <si>
    <t>Seznam her a rozšíření pro obchod s hrami</t>
  </si>
  <si>
    <t>Yakuza Kiwami</t>
  </si>
  <si>
    <t>Rockstar San Diego</t>
  </si>
  <si>
    <t>Turtle Rock Studios</t>
  </si>
  <si>
    <t>United Front Games</t>
  </si>
  <si>
    <t>Namco Bandai Games</t>
  </si>
  <si>
    <t>Noio</t>
  </si>
  <si>
    <t>Ensemble Studios</t>
  </si>
  <si>
    <t>Gray Matter Interactive</t>
  </si>
  <si>
    <t>Comcept</t>
  </si>
  <si>
    <t>Iron Galaxy Studios</t>
  </si>
  <si>
    <t>Název hry:</t>
  </si>
  <si>
    <t>Typ hry:</t>
  </si>
  <si>
    <t>Název vývojáře:</t>
  </si>
  <si>
    <t>Název vydavatele:</t>
  </si>
  <si>
    <t>Datum vydání hry:</t>
  </si>
  <si>
    <t>Průměrná doba dohrání:</t>
  </si>
  <si>
    <t>Hodnocení ESRB:</t>
  </si>
  <si>
    <t>Žánry:</t>
  </si>
  <si>
    <t>Vstupní oblasti</t>
  </si>
  <si>
    <t>Žánry her:</t>
  </si>
  <si>
    <t>Typy her:</t>
  </si>
  <si>
    <t>PR</t>
  </si>
  <si>
    <t>Karta hry</t>
  </si>
  <si>
    <t>Otevřený svět</t>
  </si>
  <si>
    <t>Platformer</t>
  </si>
  <si>
    <t>Stealth</t>
  </si>
  <si>
    <t>Simulace</t>
  </si>
  <si>
    <t>Hack and Slash</t>
  </si>
  <si>
    <t>Logické</t>
  </si>
  <si>
    <t>Platformy:</t>
  </si>
  <si>
    <t>Xbox 360</t>
  </si>
  <si>
    <t>Playstation 3</t>
  </si>
  <si>
    <t>Playstation 2</t>
  </si>
  <si>
    <t>Xbox</t>
  </si>
  <si>
    <t>Playstation Vita</t>
  </si>
  <si>
    <t>Nintendo Switch</t>
  </si>
  <si>
    <t>Hodnocení uživatelů (PC):</t>
  </si>
  <si>
    <t>Hodnocení uživatelů (X1):</t>
  </si>
  <si>
    <t>Hodnocení uživatelů (PS4):</t>
  </si>
  <si>
    <t>Počet uživatelů (PC):</t>
  </si>
  <si>
    <t>Počet uživatelů (X1):</t>
  </si>
  <si>
    <t>Počet uživatelů (PS4):</t>
  </si>
  <si>
    <t>Počet uživatelů (X1)</t>
  </si>
  <si>
    <t>Počet uživatelů (PS4)</t>
  </si>
  <si>
    <t>Hodnocení uživatelů (PS4)</t>
  </si>
  <si>
    <t>Hodnocení uživatelů (X1)</t>
  </si>
  <si>
    <t>Počet kusů (PC)</t>
  </si>
  <si>
    <t>Počet kusů (X1)</t>
  </si>
  <si>
    <t>Počet kusů (PS4)</t>
  </si>
  <si>
    <t>Počet kusů (PC):</t>
  </si>
  <si>
    <t>Počet kusů (X1):</t>
  </si>
  <si>
    <t>Počet kusů (PS4):</t>
  </si>
  <si>
    <t>Filtry</t>
  </si>
  <si>
    <t xml:space="preserve">      Žánry:</t>
  </si>
  <si>
    <t>Ready at Dawn</t>
  </si>
  <si>
    <t>Datum vydání od:</t>
  </si>
  <si>
    <t>Hodnocení</t>
  </si>
  <si>
    <t>Xbox One;Playstation 4</t>
  </si>
  <si>
    <t>Hodnocení uživatelů (PC) od:</t>
  </si>
  <si>
    <t>Hodnocení uživatelů (X1) od:</t>
  </si>
  <si>
    <t>Hodnocení uživatelů (PS4) od:</t>
  </si>
  <si>
    <t>Podmíněné formátování</t>
  </si>
  <si>
    <t>Průměrná doba dohrání od:</t>
  </si>
  <si>
    <t>Celkem:</t>
  </si>
  <si>
    <t>Výpočty</t>
  </si>
  <si>
    <t>Popisky řádků</t>
  </si>
  <si>
    <t>Celkový součet</t>
  </si>
  <si>
    <t>Styly:</t>
  </si>
  <si>
    <t>Ukázka:</t>
  </si>
  <si>
    <t>text</t>
  </si>
  <si>
    <t>Formátování výběru</t>
  </si>
  <si>
    <t>Správně</t>
  </si>
  <si>
    <t>Špatně</t>
  </si>
  <si>
    <t>Neutrální</t>
  </si>
  <si>
    <t>Vývojáři</t>
  </si>
  <si>
    <t>Průměrné datum vydání</t>
  </si>
  <si>
    <t>Počet produktů</t>
  </si>
  <si>
    <t>(Vše)</t>
  </si>
  <si>
    <t>Název hry</t>
  </si>
  <si>
    <t>Darksiders</t>
  </si>
  <si>
    <t>Vigil Games</t>
  </si>
  <si>
    <t>THQ Nordic</t>
  </si>
  <si>
    <t>Darksiders 2</t>
  </si>
  <si>
    <t xml:space="preserve">Super Smash Bros. Ultimate </t>
  </si>
  <si>
    <t>Bandai Namco Studios</t>
  </si>
  <si>
    <t xml:space="preserve">Nintendo </t>
  </si>
  <si>
    <t xml:space="preserve">  Příjmení a jméno:</t>
  </si>
  <si>
    <t xml:space="preserve">  Téma:</t>
  </si>
  <si>
    <t xml:space="preserve">  Zaměření práce:</t>
  </si>
  <si>
    <t xml:space="preserve">  Zdroje dat:</t>
  </si>
  <si>
    <t>Průměrná doba dohrání her</t>
  </si>
  <si>
    <t>Průměrná doba dohrání rozšíření</t>
  </si>
  <si>
    <t>Průměrné hodnocení her</t>
  </si>
  <si>
    <t>Průměrné hodnocení rozšíření</t>
  </si>
  <si>
    <t>Doba od posledního vydání</t>
  </si>
  <si>
    <t>2014</t>
  </si>
  <si>
    <t>2007</t>
  </si>
  <si>
    <t>2009</t>
  </si>
  <si>
    <t>2013</t>
  </si>
  <si>
    <t>2018</t>
  </si>
  <si>
    <t>2017</t>
  </si>
  <si>
    <t>2011</t>
  </si>
  <si>
    <t>2015</t>
  </si>
  <si>
    <t>1998</t>
  </si>
  <si>
    <t>2016</t>
  </si>
  <si>
    <t>2003</t>
  </si>
  <si>
    <t>2012</t>
  </si>
  <si>
    <t>2008</t>
  </si>
  <si>
    <t>2004</t>
  </si>
  <si>
    <t>2006</t>
  </si>
  <si>
    <t>2010</t>
  </si>
  <si>
    <t>2002</t>
  </si>
  <si>
    <t>2001</t>
  </si>
  <si>
    <t>Čtvrtletí</t>
  </si>
  <si>
    <t>Počet prodaných kusů (X1)</t>
  </si>
  <si>
    <t>Počet prodaných kusů (PS4)</t>
  </si>
  <si>
    <t>Počet prodaných kusů (PC)</t>
  </si>
  <si>
    <t>Průměrné hodnocení uživatelů (PC)</t>
  </si>
  <si>
    <t/>
  </si>
  <si>
    <t>Průměrné hodnocení uživatelů (X1)</t>
  </si>
  <si>
    <t>Průměrné hodnocení uživatelů (PS4)</t>
  </si>
  <si>
    <r>
      <rPr>
        <b/>
        <sz val="11"/>
        <color theme="1"/>
        <rFont val="Calibri"/>
        <family val="2"/>
        <scheme val="minor"/>
      </rPr>
      <t>Kontingenční tabulka 3</t>
    </r>
    <r>
      <rPr>
        <sz val="11"/>
        <color theme="1"/>
        <rFont val="Calibri"/>
        <family val="2"/>
        <scheme val="minor"/>
      </rPr>
      <t>: přehled průměrů hodnocení her napříč platformami</t>
    </r>
  </si>
  <si>
    <t xml:space="preserve">Super Mario Odyssey </t>
  </si>
  <si>
    <r>
      <rPr>
        <b/>
        <sz val="11"/>
        <color theme="1"/>
        <rFont val="Calibri"/>
        <family val="2"/>
        <scheme val="minor"/>
      </rPr>
      <t>Kontingenční tabulka 2</t>
    </r>
    <r>
      <rPr>
        <sz val="11"/>
        <color theme="1"/>
        <rFont val="Calibri"/>
        <family val="2"/>
        <scheme val="minor"/>
      </rPr>
      <t>: přehled počtu kusů her podle roku vydání her</t>
    </r>
  </si>
  <si>
    <r>
      <rPr>
        <b/>
        <sz val="11"/>
        <color theme="1"/>
        <rFont val="Calibri"/>
        <family val="2"/>
        <scheme val="minor"/>
      </rPr>
      <t>Kontingenční tabulka 1</t>
    </r>
    <r>
      <rPr>
        <sz val="11"/>
        <color theme="1"/>
        <rFont val="Calibri"/>
        <family val="2"/>
        <scheme val="minor"/>
      </rPr>
      <t>: přehled vývojářů a jejich her a rozšíření</t>
    </r>
  </si>
  <si>
    <t>Tato práce na téma "Seznam her a rozšíření pro obchod s hrami" se zabývá informacemi o produktech vývojářů her v rámci obchodu s hrami. V rámci tohoto sešitu jsou listy s kartou hry, kde se zadávají data o hře, následně je list s daty a ovládacími prvky a po tomoto listu jsou výpočty pro jednotlivé vývojáře. Poslední tři listy jsou listy s kontingenčními tabulkami.</t>
  </si>
  <si>
    <t xml:space="preserve">  Heslo pro odemknutí:</t>
  </si>
  <si>
    <t>moum258511</t>
  </si>
  <si>
    <t>Počet prodaných kusů na PC</t>
  </si>
  <si>
    <t>Počet prodaných kusů na X1</t>
  </si>
  <si>
    <t>Počet prodaných kusů na PS4</t>
  </si>
  <si>
    <r>
      <rPr>
        <b/>
        <sz val="11"/>
        <color theme="1"/>
        <rFont val="Calibri"/>
        <family val="2"/>
        <scheme val="minor"/>
      </rPr>
      <t>Kontingenční tabulka 4</t>
    </r>
    <r>
      <rPr>
        <sz val="11"/>
        <color theme="1"/>
        <rFont val="Calibri"/>
        <family val="2"/>
        <scheme val="minor"/>
      </rPr>
      <t>: detailní přehled vydavatelů her</t>
    </r>
  </si>
  <si>
    <t>Počet uživatelů na PC</t>
  </si>
  <si>
    <t>Počet uživatelů na X1</t>
  </si>
  <si>
    <t>Počet uživatelů na PS4</t>
  </si>
  <si>
    <t>Průměrné hodnocení uživatelů na PC</t>
  </si>
  <si>
    <t>Průměrné hodnocení uživatelů na X1</t>
  </si>
  <si>
    <t>Průměrné hodnocení uživatelů na PS4</t>
  </si>
  <si>
    <t xml:space="preserve">The Legend of Zelda: Ocarina of Time </t>
  </si>
  <si>
    <t>Mario + Rabbids Kingdom Battle</t>
  </si>
  <si>
    <t xml:space="preserve">Ubisoft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</si>
</sst>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&quot;%&quot;"/>
    <numFmt numFmtId="165" formatCode="0.0&quot; h&quot;"/>
    <numFmt numFmtId="166" formatCode="0;\-0;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9C5700"/>
      <name val="Calibri"/>
      <family val="2"/>
      <charset val="238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sz val="8"/>
      <color rgb="FF000000"/>
      <name val="Segoe UI"/>
      <family val="2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88C84"/>
        <bgColor indexed="64"/>
      </patternFill>
    </fill>
    <fill>
      <patternFill patternType="solid">
        <fgColor theme="8" tint="0.59999389629810485"/>
        <bgColor indexed="65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3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theme="3"/>
      </left>
      <right/>
      <top/>
      <bottom/>
      <diagonal/>
    </border>
    <border>
      <left style="double">
        <color theme="3"/>
      </left>
      <right/>
      <top/>
      <bottom style="double">
        <color indexed="64"/>
      </bottom>
      <diagonal/>
    </border>
    <border>
      <left/>
      <right style="double">
        <color theme="3"/>
      </right>
      <top style="double">
        <color indexed="64"/>
      </top>
      <bottom/>
      <diagonal/>
    </border>
    <border>
      <left/>
      <right style="double">
        <color theme="3"/>
      </right>
      <top/>
      <bottom/>
      <diagonal/>
    </border>
    <border>
      <left/>
      <right style="double">
        <color theme="3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10" fillId="4" borderId="0" applyNumberFormat="0" applyBorder="0" applyAlignment="0" applyProtection="0"/>
    <xf numFmtId="0" fontId="5" fillId="5" borderId="0" applyNumberFormat="0" applyBorder="0" applyAlignment="0" applyProtection="0"/>
    <xf numFmtId="0" fontId="25" fillId="7" borderId="0" applyNumberFormat="0" applyBorder="0" applyAlignment="0" applyProtection="0"/>
    <xf numFmtId="0" fontId="2" fillId="11" borderId="0" applyNumberFormat="0" applyBorder="0" applyAlignment="0" applyProtection="0"/>
  </cellStyleXfs>
  <cellXfs count="131">
    <xf numFmtId="0" fontId="0" fillId="0" borderId="0" xfId="0"/>
    <xf numFmtId="0" fontId="0" fillId="0" borderId="0" xfId="0" applyProtection="1">
      <protection hidden="1"/>
    </xf>
    <xf numFmtId="0" fontId="10" fillId="4" borderId="17" xfId="4" applyBorder="1" applyProtection="1">
      <protection hidden="1"/>
    </xf>
    <xf numFmtId="0" fontId="10" fillId="4" borderId="0" xfId="4" applyBorder="1" applyProtection="1">
      <protection hidden="1"/>
    </xf>
    <xf numFmtId="0" fontId="10" fillId="4" borderId="18" xfId="4" applyBorder="1" applyProtection="1">
      <protection hidden="1"/>
    </xf>
    <xf numFmtId="0" fontId="11" fillId="4" borderId="17" xfId="4" applyFont="1" applyBorder="1" applyAlignment="1" applyProtection="1">
      <alignment horizontal="left"/>
      <protection hidden="1"/>
    </xf>
    <xf numFmtId="0" fontId="11" fillId="4" borderId="0" xfId="4" applyFont="1" applyBorder="1" applyProtection="1">
      <protection hidden="1"/>
    </xf>
    <xf numFmtId="0" fontId="10" fillId="4" borderId="19" xfId="4" applyBorder="1" applyProtection="1">
      <protection hidden="1"/>
    </xf>
    <xf numFmtId="0" fontId="10" fillId="4" borderId="2" xfId="4" applyBorder="1" applyProtection="1">
      <protection hidden="1"/>
    </xf>
    <xf numFmtId="0" fontId="10" fillId="4" borderId="20" xfId="4" applyBorder="1" applyProtection="1">
      <protection hidden="1"/>
    </xf>
    <xf numFmtId="0" fontId="13" fillId="0" borderId="0" xfId="0" applyFont="1" applyAlignment="1" applyProtection="1">
      <alignment vertical="center"/>
      <protection hidden="1"/>
    </xf>
    <xf numFmtId="0" fontId="5" fillId="5" borderId="4" xfId="5" applyBorder="1" applyProtection="1">
      <protection hidden="1"/>
    </xf>
    <xf numFmtId="0" fontId="5" fillId="5" borderId="5" xfId="5" applyBorder="1" applyProtection="1">
      <protection hidden="1"/>
    </xf>
    <xf numFmtId="0" fontId="5" fillId="5" borderId="8" xfId="5" applyBorder="1" applyProtection="1">
      <protection hidden="1"/>
    </xf>
    <xf numFmtId="0" fontId="5" fillId="5" borderId="6" xfId="5" applyBorder="1" applyProtection="1">
      <protection hidden="1"/>
    </xf>
    <xf numFmtId="0" fontId="5" fillId="5" borderId="0" xfId="5" applyBorder="1" applyAlignment="1" applyProtection="1">
      <alignment horizontal="left" vertical="center"/>
      <protection hidden="1"/>
    </xf>
    <xf numFmtId="0" fontId="15" fillId="6" borderId="3" xfId="5" applyFont="1" applyFill="1" applyBorder="1" applyProtection="1">
      <protection hidden="1"/>
    </xf>
    <xf numFmtId="0" fontId="5" fillId="5" borderId="0" xfId="5" applyBorder="1" applyProtection="1">
      <protection hidden="1"/>
    </xf>
    <xf numFmtId="0" fontId="5" fillId="5" borderId="9" xfId="5" applyBorder="1" applyProtection="1">
      <protection hidden="1"/>
    </xf>
    <xf numFmtId="14" fontId="15" fillId="6" borderId="3" xfId="5" applyNumberFormat="1" applyFont="1" applyFill="1" applyBorder="1" applyAlignment="1" applyProtection="1">
      <alignment horizontal="left" vertical="center"/>
      <protection hidden="1"/>
    </xf>
    <xf numFmtId="0" fontId="4" fillId="5" borderId="0" xfId="5" applyFont="1" applyBorder="1" applyProtection="1">
      <protection hidden="1"/>
    </xf>
    <xf numFmtId="0" fontId="5" fillId="5" borderId="0" xfId="5" applyBorder="1" applyAlignment="1" applyProtection="1">
      <alignment horizontal="left" vertical="center" wrapText="1"/>
      <protection hidden="1"/>
    </xf>
    <xf numFmtId="165" fontId="15" fillId="6" borderId="3" xfId="5" applyNumberFormat="1" applyFont="1" applyFill="1" applyBorder="1" applyAlignment="1" applyProtection="1">
      <alignment horizontal="left" vertical="center"/>
      <protection hidden="1"/>
    </xf>
    <xf numFmtId="14" fontId="0" fillId="0" borderId="0" xfId="0" applyNumberFormat="1" applyProtection="1">
      <protection hidden="1"/>
    </xf>
    <xf numFmtId="0" fontId="5" fillId="5" borderId="11" xfId="5" applyBorder="1" applyAlignment="1" applyProtection="1">
      <alignment horizontal="left" vertical="center"/>
      <protection hidden="1"/>
    </xf>
    <xf numFmtId="0" fontId="5" fillId="5" borderId="11" xfId="5" applyBorder="1" applyProtection="1">
      <protection hidden="1"/>
    </xf>
    <xf numFmtId="164" fontId="15" fillId="6" borderId="3" xfId="5" applyNumberFormat="1" applyFont="1" applyFill="1" applyBorder="1" applyAlignment="1" applyProtection="1">
      <alignment horizontal="left" vertical="center"/>
      <protection hidden="1"/>
    </xf>
    <xf numFmtId="0" fontId="3" fillId="5" borderId="0" xfId="5" applyFont="1" applyBorder="1" applyProtection="1">
      <protection hidden="1"/>
    </xf>
    <xf numFmtId="3" fontId="15" fillId="6" borderId="3" xfId="5" applyNumberFormat="1" applyFont="1" applyFill="1" applyBorder="1" applyAlignment="1" applyProtection="1">
      <alignment horizontal="left" vertical="center"/>
      <protection hidden="1"/>
    </xf>
    <xf numFmtId="0" fontId="5" fillId="5" borderId="7" xfId="5" applyBorder="1" applyProtection="1">
      <protection hidden="1"/>
    </xf>
    <xf numFmtId="0" fontId="5" fillId="5" borderId="2" xfId="5" applyBorder="1" applyProtection="1">
      <protection hidden="1"/>
    </xf>
    <xf numFmtId="0" fontId="5" fillId="5" borderId="10" xfId="5" applyBorder="1" applyProtection="1">
      <protection hidden="1"/>
    </xf>
    <xf numFmtId="0" fontId="27" fillId="0" borderId="0" xfId="0" applyFont="1" applyFill="1" applyBorder="1" applyProtection="1">
      <protection hidden="1"/>
    </xf>
    <xf numFmtId="0" fontId="0" fillId="0" borderId="0" xfId="0" applyFill="1" applyProtection="1">
      <protection hidden="1"/>
    </xf>
    <xf numFmtId="0" fontId="20" fillId="0" borderId="0" xfId="0" applyFont="1" applyAlignment="1" applyProtection="1">
      <alignment horizontal="left"/>
      <protection hidden="1"/>
    </xf>
    <xf numFmtId="0" fontId="20" fillId="0" borderId="0" xfId="0" applyFont="1" applyAlignment="1" applyProtection="1">
      <alignment horizontal="right"/>
      <protection hidden="1"/>
    </xf>
    <xf numFmtId="0" fontId="20" fillId="0" borderId="0" xfId="0" applyFont="1" applyProtection="1">
      <protection hidden="1"/>
    </xf>
    <xf numFmtId="164" fontId="0" fillId="0" borderId="3" xfId="0" applyNumberFormat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protection hidden="1"/>
    </xf>
    <xf numFmtId="14" fontId="16" fillId="0" borderId="3" xfId="0" applyNumberFormat="1" applyFont="1" applyBorder="1" applyAlignment="1" applyProtection="1">
      <alignment horizontal="left"/>
      <protection hidden="1"/>
    </xf>
    <xf numFmtId="0" fontId="16" fillId="0" borderId="0" xfId="0" applyFont="1" applyBorder="1" applyAlignment="1" applyProtection="1">
      <alignment vertical="center"/>
      <protection hidden="1"/>
    </xf>
    <xf numFmtId="0" fontId="18" fillId="0" borderId="0" xfId="0" applyFont="1" applyAlignment="1" applyProtection="1">
      <alignment horizontal="left"/>
      <protection hidden="1"/>
    </xf>
    <xf numFmtId="3" fontId="0" fillId="0" borderId="0" xfId="0" applyNumberFormat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20" fillId="0" borderId="11" xfId="0" applyFont="1" applyBorder="1" applyProtection="1">
      <protection hidden="1"/>
    </xf>
    <xf numFmtId="3" fontId="0" fillId="0" borderId="11" xfId="0" applyNumberFormat="1" applyBorder="1" applyAlignment="1" applyProtection="1">
      <alignment horizontal="center" vertical="center"/>
      <protection hidden="1"/>
    </xf>
    <xf numFmtId="0" fontId="28" fillId="0" borderId="0" xfId="0" applyFont="1" applyFill="1" applyProtection="1"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4" fontId="18" fillId="0" borderId="0" xfId="0" applyNumberFormat="1" applyFont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165" fontId="18" fillId="0" borderId="0" xfId="0" applyNumberFormat="1" applyFont="1" applyAlignment="1" applyProtection="1">
      <alignment horizontal="center" vertical="center"/>
      <protection hidden="1"/>
    </xf>
    <xf numFmtId="164" fontId="18" fillId="0" borderId="0" xfId="0" applyNumberFormat="1" applyFont="1" applyAlignment="1" applyProtection="1">
      <alignment horizontal="center" vertical="center"/>
      <protection hidden="1"/>
    </xf>
    <xf numFmtId="3" fontId="18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14" fontId="16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165" fontId="16" fillId="0" borderId="0" xfId="0" applyNumberFormat="1" applyFont="1" applyAlignment="1" applyProtection="1">
      <alignment horizontal="center" vertical="center"/>
      <protection hidden="1"/>
    </xf>
    <xf numFmtId="0" fontId="29" fillId="11" borderId="11" xfId="7" applyFont="1" applyBorder="1" applyAlignment="1" applyProtection="1">
      <alignment horizontal="center" vertical="center" wrapText="1"/>
      <protection hidden="1"/>
    </xf>
    <xf numFmtId="0" fontId="29" fillId="11" borderId="0" xfId="7" applyFont="1" applyBorder="1" applyAlignment="1" applyProtection="1">
      <alignment horizontal="center" vertical="center" wrapText="1"/>
      <protection hidden="1"/>
    </xf>
    <xf numFmtId="1" fontId="18" fillId="0" borderId="0" xfId="0" applyNumberFormat="1" applyFont="1" applyAlignment="1" applyProtection="1">
      <alignment horizontal="center" vertical="center"/>
      <protection hidden="1"/>
    </xf>
    <xf numFmtId="1" fontId="0" fillId="0" borderId="0" xfId="0" applyNumberFormat="1" applyProtection="1">
      <protection hidden="1"/>
    </xf>
    <xf numFmtId="0" fontId="10" fillId="4" borderId="0" xfId="4" applyBorder="1" applyAlignment="1" applyProtection="1">
      <alignment horizontal="left" vertical="top" wrapText="1"/>
      <protection hidden="1"/>
    </xf>
    <xf numFmtId="0" fontId="11" fillId="4" borderId="17" xfId="4" applyFont="1" applyBorder="1" applyProtection="1">
      <protection hidden="1"/>
    </xf>
    <xf numFmtId="0" fontId="0" fillId="0" borderId="0" xfId="0" pivotButton="1" applyProtection="1"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NumberFormat="1" applyProtection="1">
      <protection hidden="1"/>
    </xf>
    <xf numFmtId="0" fontId="0" fillId="0" borderId="0" xfId="0" applyAlignment="1" applyProtection="1">
      <alignment horizontal="left" indent="1"/>
      <protection hidden="1"/>
    </xf>
    <xf numFmtId="0" fontId="0" fillId="0" borderId="0" xfId="0" pivotButton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64" fontId="0" fillId="0" borderId="0" xfId="0" applyNumberFormat="1" applyProtection="1">
      <protection hidden="1"/>
    </xf>
    <xf numFmtId="0" fontId="12" fillId="0" borderId="3" xfId="0" applyFont="1" applyBorder="1" applyAlignment="1" applyProtection="1">
      <alignment horizontal="center" vertical="center"/>
      <protection hidden="1"/>
    </xf>
    <xf numFmtId="0" fontId="12" fillId="0" borderId="3" xfId="0" applyFont="1" applyBorder="1" applyAlignment="1" applyProtection="1">
      <alignment horizontal="center" vertical="center" wrapText="1"/>
      <protection hidden="1"/>
    </xf>
    <xf numFmtId="0" fontId="18" fillId="0" borderId="0" xfId="0" applyFont="1" applyProtection="1">
      <protection hidden="1"/>
    </xf>
    <xf numFmtId="0" fontId="18" fillId="0" borderId="0" xfId="0" applyFont="1" applyAlignment="1" applyProtection="1">
      <alignment wrapText="1"/>
      <protection hidden="1"/>
    </xf>
    <xf numFmtId="14" fontId="18" fillId="0" borderId="0" xfId="0" applyNumberFormat="1" applyFont="1" applyProtection="1">
      <protection hidden="1"/>
    </xf>
    <xf numFmtId="166" fontId="18" fillId="0" borderId="0" xfId="0" applyNumberFormat="1" applyFont="1" applyProtection="1">
      <protection hidden="1"/>
    </xf>
    <xf numFmtId="0" fontId="18" fillId="0" borderId="0" xfId="0" applyNumberFormat="1" applyFont="1" applyProtection="1">
      <protection hidden="1"/>
    </xf>
    <xf numFmtId="0" fontId="0" fillId="0" borderId="0" xfId="0" applyAlignment="1" applyProtection="1">
      <protection hidden="1"/>
    </xf>
    <xf numFmtId="0" fontId="26" fillId="9" borderId="0" xfId="6" applyFont="1" applyFill="1" applyProtection="1">
      <protection hidden="1"/>
    </xf>
    <xf numFmtId="0" fontId="18" fillId="10" borderId="0" xfId="0" applyFont="1" applyFill="1" applyProtection="1">
      <protection hidden="1"/>
    </xf>
    <xf numFmtId="0" fontId="19" fillId="8" borderId="0" xfId="0" applyFont="1" applyFill="1" applyProtection="1">
      <protection hidden="1"/>
    </xf>
    <xf numFmtId="0" fontId="0" fillId="0" borderId="0" xfId="0" pivotButton="1"/>
    <xf numFmtId="0" fontId="0" fillId="0" borderId="0" xfId="0" applyAlignment="1">
      <alignment horizontal="left" indent="2"/>
    </xf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left" wrapText="1" indent="2"/>
    </xf>
    <xf numFmtId="0" fontId="0" fillId="0" borderId="0" xfId="0" applyAlignment="1">
      <alignment horizontal="left" vertical="center" wrapText="1" indent="2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5" borderId="0" xfId="5" applyFont="1" applyBorder="1" applyAlignment="1" applyProtection="1">
      <alignment horizontal="left" vertical="center"/>
      <protection hidden="1"/>
    </xf>
    <xf numFmtId="0" fontId="0" fillId="0" borderId="0" xfId="0" applyProtection="1">
      <protection locked="0" hidden="1"/>
    </xf>
    <xf numFmtId="0" fontId="18" fillId="0" borderId="0" xfId="0" applyFont="1" applyAlignment="1" applyProtection="1">
      <alignment horizontal="center" vertical="center"/>
      <protection locked="0" hidden="1"/>
    </xf>
    <xf numFmtId="14" fontId="18" fillId="0" borderId="0" xfId="0" applyNumberFormat="1" applyFont="1" applyAlignment="1" applyProtection="1">
      <alignment horizontal="center" vertical="center"/>
      <protection locked="0" hidden="1"/>
    </xf>
    <xf numFmtId="0" fontId="18" fillId="0" borderId="0" xfId="0" applyFont="1" applyAlignment="1" applyProtection="1">
      <alignment horizontal="center" vertical="center" wrapText="1"/>
      <protection locked="0" hidden="1"/>
    </xf>
    <xf numFmtId="165" fontId="18" fillId="0" borderId="0" xfId="0" applyNumberFormat="1" applyFont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horizontal="center" vertical="center"/>
      <protection locked="0" hidden="1"/>
    </xf>
    <xf numFmtId="3" fontId="18" fillId="0" borderId="0" xfId="0" applyNumberFormat="1" applyFont="1" applyAlignment="1" applyProtection="1">
      <alignment horizontal="center" vertical="center"/>
      <protection locked="0" hidden="1"/>
    </xf>
    <xf numFmtId="0" fontId="18" fillId="0" borderId="0" xfId="0" applyFont="1" applyProtection="1">
      <protection locked="0" hidden="1"/>
    </xf>
    <xf numFmtId="14" fontId="18" fillId="0" borderId="0" xfId="0" applyNumberFormat="1" applyFont="1" applyAlignment="1" applyProtection="1">
      <alignment horizontal="center" vertical="center" wrapText="1"/>
      <protection locked="0" hidden="1"/>
    </xf>
    <xf numFmtId="165" fontId="18" fillId="0" borderId="0" xfId="0" applyNumberFormat="1" applyFont="1" applyAlignment="1" applyProtection="1">
      <alignment horizontal="center" vertical="center" wrapText="1"/>
      <protection locked="0" hidden="1"/>
    </xf>
    <xf numFmtId="49" fontId="18" fillId="0" borderId="0" xfId="0" applyNumberFormat="1" applyFont="1" applyAlignment="1" applyProtection="1">
      <alignment horizontal="center" vertical="center" wrapText="1"/>
      <protection locked="0" hidden="1"/>
    </xf>
    <xf numFmtId="164" fontId="18" fillId="0" borderId="0" xfId="0" applyNumberFormat="1" applyFont="1" applyAlignment="1" applyProtection="1">
      <alignment horizontal="center" vertical="center" wrapText="1"/>
      <protection locked="0" hidden="1"/>
    </xf>
    <xf numFmtId="3" fontId="18" fillId="0" borderId="0" xfId="0" applyNumberFormat="1" applyFont="1" applyAlignment="1" applyProtection="1">
      <alignment horizontal="center" vertical="center" wrapText="1"/>
      <protection locked="0" hidden="1"/>
    </xf>
    <xf numFmtId="3" fontId="19" fillId="0" borderId="0" xfId="1" applyNumberFormat="1" applyFont="1" applyAlignment="1" applyProtection="1">
      <alignment horizontal="center" vertical="center" wrapText="1"/>
      <protection locked="0" hidden="1"/>
    </xf>
    <xf numFmtId="9" fontId="18" fillId="0" borderId="0" xfId="0" applyNumberFormat="1" applyFont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/>
      <protection locked="0" hidden="1"/>
    </xf>
    <xf numFmtId="0" fontId="24" fillId="2" borderId="0" xfId="2" applyFont="1" applyBorder="1" applyAlignment="1" applyProtection="1">
      <alignment horizontal="center" vertical="center" wrapText="1"/>
      <protection hidden="1"/>
    </xf>
    <xf numFmtId="14" fontId="24" fillId="2" borderId="0" xfId="2" applyNumberFormat="1" applyFont="1" applyBorder="1" applyAlignment="1" applyProtection="1">
      <alignment horizontal="center" vertical="center" wrapText="1"/>
      <protection hidden="1"/>
    </xf>
    <xf numFmtId="165" fontId="24" fillId="2" borderId="0" xfId="2" applyNumberFormat="1" applyFont="1" applyBorder="1" applyAlignment="1" applyProtection="1">
      <alignment horizontal="center" vertical="center" wrapText="1"/>
      <protection hidden="1"/>
    </xf>
    <xf numFmtId="0" fontId="30" fillId="10" borderId="0" xfId="0" applyFont="1" applyFill="1" applyProtection="1">
      <protection hidden="1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8" fillId="3" borderId="15" xfId="3" applyFont="1" applyBorder="1" applyAlignment="1" applyProtection="1">
      <alignment horizontal="center" vertical="center"/>
      <protection hidden="1"/>
    </xf>
    <xf numFmtId="0" fontId="8" fillId="3" borderId="5" xfId="3" applyFont="1" applyBorder="1" applyAlignment="1" applyProtection="1">
      <alignment horizontal="center" vertical="center"/>
      <protection hidden="1"/>
    </xf>
    <xf numFmtId="0" fontId="8" fillId="3" borderId="16" xfId="3" applyFont="1" applyBorder="1" applyAlignment="1" applyProtection="1">
      <alignment horizontal="center" vertical="center"/>
      <protection hidden="1"/>
    </xf>
    <xf numFmtId="0" fontId="8" fillId="3" borderId="17" xfId="3" applyFont="1" applyBorder="1" applyAlignment="1" applyProtection="1">
      <alignment horizontal="center" vertical="center"/>
      <protection hidden="1"/>
    </xf>
    <xf numFmtId="0" fontId="8" fillId="3" borderId="0" xfId="3" applyFont="1" applyBorder="1" applyAlignment="1" applyProtection="1">
      <alignment horizontal="center" vertical="center"/>
      <protection hidden="1"/>
    </xf>
    <xf numFmtId="0" fontId="8" fillId="3" borderId="18" xfId="3" applyFont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left" vertical="top" wrapText="1"/>
      <protection hidden="1"/>
    </xf>
    <xf numFmtId="0" fontId="13" fillId="0" borderId="1" xfId="0" applyFont="1" applyBorder="1" applyAlignment="1" applyProtection="1">
      <alignment horizontal="left" vertical="center"/>
      <protection hidden="1"/>
    </xf>
    <xf numFmtId="0" fontId="13" fillId="0" borderId="2" xfId="0" applyFont="1" applyBorder="1" applyAlignment="1" applyProtection="1">
      <alignment horizontal="left" vertical="center"/>
      <protection hidden="1"/>
    </xf>
    <xf numFmtId="0" fontId="23" fillId="3" borderId="0" xfId="3" applyFont="1" applyAlignment="1" applyProtection="1">
      <alignment horizontal="center" vertical="center"/>
      <protection hidden="1"/>
    </xf>
    <xf numFmtId="0" fontId="16" fillId="0" borderId="12" xfId="0" applyFont="1" applyBorder="1" applyAlignment="1" applyProtection="1">
      <alignment horizontal="left" vertical="center"/>
      <protection hidden="1"/>
    </xf>
    <xf numFmtId="0" fontId="16" fillId="0" borderId="14" xfId="0" applyFont="1" applyBorder="1" applyAlignment="1" applyProtection="1">
      <alignment horizontal="left" vertical="center"/>
      <protection hidden="1"/>
    </xf>
    <xf numFmtId="0" fontId="16" fillId="0" borderId="13" xfId="0" applyFont="1" applyBorder="1" applyAlignment="1" applyProtection="1">
      <alignment horizontal="left" vertical="center"/>
      <protection hidden="1"/>
    </xf>
  </cellXfs>
  <cellStyles count="8">
    <cellStyle name="20 % – Zvýraznění 1" xfId="5" builtinId="30"/>
    <cellStyle name="40 % – Zvýraznění 5" xfId="7" builtinId="47"/>
    <cellStyle name="Neutrální" xfId="4" builtinId="28"/>
    <cellStyle name="Normální" xfId="0" builtinId="0"/>
    <cellStyle name="Správně" xfId="6" builtinId="26"/>
    <cellStyle name="Text upozornění" xfId="1" builtinId="11"/>
    <cellStyle name="Zvýraznění 1" xfId="2" builtinId="29"/>
    <cellStyle name="Zvýraznění 5" xfId="3" builtinId="45"/>
  </cellStyles>
  <dxfs count="123">
    <dxf>
      <alignment vertical="center"/>
    </dxf>
    <dxf>
      <alignment vertical="center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0&quot;%&quot;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0&quot;%&quot;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0&quot;%&quot;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5" formatCode="0.0&quot; h&quot;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F88C84"/>
      <color rgb="FFFF3300"/>
      <color rgb="FFC6EFCE"/>
      <color rgb="FFA0BAEE"/>
      <color rgb="FFA6C9E8"/>
      <color rgb="FFB9D4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11/relationships/timelineCache" Target="timelineCaches/timeline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microsoft.com/office/2011/relationships/timelineCache" Target="timelineCaches/timeline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11/relationships/timelineCache" Target="timelineCaches/timeline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[moum02.xlsm]KT1!Kontingenční tabulka1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Počet produktů</a:t>
            </a:r>
            <a:r>
              <a:rPr lang="cs-CZ"/>
              <a:t> podle jejich ESRB hodnocení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'KT1'!$B$39</c:f>
              <c:strCache>
                <c:ptCount val="1"/>
                <c:pt idx="0">
                  <c:v>Počet produktů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DF-4F9A-ADB2-48CF2EDDC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DF-4F9A-ADB2-48CF2EDDC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DF-4F9A-ADB2-48CF2EDDC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DF-4F9A-ADB2-48CF2EDDC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DF-4F9A-ADB2-48CF2EDDC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DF-4F9A-ADB2-48CF2EDDC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DF-4F9A-ADB2-48CF2EDDC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DF-4F9A-ADB2-48CF2EDDCC41}"/>
              </c:ext>
            </c:extLst>
          </c:dPt>
          <c:cat>
            <c:multiLvlStrRef>
              <c:f>'KT1'!$A$40:$A$53</c:f>
              <c:multiLvlStrCache>
                <c:ptCount val="8"/>
                <c:lvl>
                  <c:pt idx="0">
                    <c:v>Hra</c:v>
                  </c:pt>
                  <c:pt idx="1">
                    <c:v>Hra</c:v>
                  </c:pt>
                  <c:pt idx="2">
                    <c:v>Rozšíření</c:v>
                  </c:pt>
                  <c:pt idx="3">
                    <c:v>Hra</c:v>
                  </c:pt>
                  <c:pt idx="4">
                    <c:v>Hra</c:v>
                  </c:pt>
                  <c:pt idx="5">
                    <c:v>Rozšíření</c:v>
                  </c:pt>
                  <c:pt idx="6">
                    <c:v>Hra</c:v>
                  </c:pt>
                  <c:pt idx="7">
                    <c:v>Rozšíření</c:v>
                  </c:pt>
                </c:lvl>
                <c:lvl>
                  <c:pt idx="0">
                    <c:v>-</c:v>
                  </c:pt>
                  <c:pt idx="1">
                    <c:v>E</c:v>
                  </c:pt>
                  <c:pt idx="3">
                    <c:v>E 10+</c:v>
                  </c:pt>
                  <c:pt idx="4">
                    <c:v>M</c:v>
                  </c:pt>
                  <c:pt idx="6">
                    <c:v>T</c:v>
                  </c:pt>
                </c:lvl>
              </c:multiLvlStrCache>
            </c:multiLvlStrRef>
          </c:cat>
          <c:val>
            <c:numRef>
              <c:f>'KT1'!$B$40:$B$53</c:f>
              <c:numCache>
                <c:formatCode>General</c:formatCode>
                <c:ptCount val="8"/>
                <c:pt idx="0">
                  <c:v>2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100</c:v>
                </c:pt>
                <c:pt idx="5">
                  <c:v>11</c:v>
                </c:pt>
                <c:pt idx="6">
                  <c:v>18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CC-4281-B1A3-9C8F84721DB6}"/>
            </c:ext>
          </c:extLst>
        </c:ser>
        <c:ser>
          <c:idx val="1"/>
          <c:order val="1"/>
          <c:tx>
            <c:strRef>
              <c:f>'KT1'!$C$39</c:f>
              <c:strCache>
                <c:ptCount val="1"/>
                <c:pt idx="0">
                  <c:v>Průměrné datum vydání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DF-4F9A-ADB2-48CF2EDDC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DF-4F9A-ADB2-48CF2EDDC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7DF-4F9A-ADB2-48CF2EDDC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7DF-4F9A-ADB2-48CF2EDDC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7DF-4F9A-ADB2-48CF2EDDC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7DF-4F9A-ADB2-48CF2EDDC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7DF-4F9A-ADB2-48CF2EDDC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7DF-4F9A-ADB2-48CF2EDDCC41}"/>
              </c:ext>
            </c:extLst>
          </c:dPt>
          <c:cat>
            <c:multiLvlStrRef>
              <c:f>'KT1'!$A$40:$A$53</c:f>
              <c:multiLvlStrCache>
                <c:ptCount val="8"/>
                <c:lvl>
                  <c:pt idx="0">
                    <c:v>Hra</c:v>
                  </c:pt>
                  <c:pt idx="1">
                    <c:v>Hra</c:v>
                  </c:pt>
                  <c:pt idx="2">
                    <c:v>Rozšíření</c:v>
                  </c:pt>
                  <c:pt idx="3">
                    <c:v>Hra</c:v>
                  </c:pt>
                  <c:pt idx="4">
                    <c:v>Hra</c:v>
                  </c:pt>
                  <c:pt idx="5">
                    <c:v>Rozšíření</c:v>
                  </c:pt>
                  <c:pt idx="6">
                    <c:v>Hra</c:v>
                  </c:pt>
                  <c:pt idx="7">
                    <c:v>Rozšíření</c:v>
                  </c:pt>
                </c:lvl>
                <c:lvl>
                  <c:pt idx="0">
                    <c:v>-</c:v>
                  </c:pt>
                  <c:pt idx="1">
                    <c:v>E</c:v>
                  </c:pt>
                  <c:pt idx="3">
                    <c:v>E 10+</c:v>
                  </c:pt>
                  <c:pt idx="4">
                    <c:v>M</c:v>
                  </c:pt>
                  <c:pt idx="6">
                    <c:v>T</c:v>
                  </c:pt>
                </c:lvl>
              </c:multiLvlStrCache>
            </c:multiLvlStrRef>
          </c:cat>
          <c:val>
            <c:numRef>
              <c:f>'KT1'!$C$40:$C$53</c:f>
              <c:numCache>
                <c:formatCode>m/d/yyyy</c:formatCode>
                <c:ptCount val="8"/>
                <c:pt idx="0">
                  <c:v>42312.5</c:v>
                </c:pt>
                <c:pt idx="1">
                  <c:v>41774.444444444445</c:v>
                </c:pt>
                <c:pt idx="2">
                  <c:v>42717</c:v>
                </c:pt>
                <c:pt idx="3">
                  <c:v>42378.5</c:v>
                </c:pt>
                <c:pt idx="4">
                  <c:v>41531.07</c:v>
                </c:pt>
                <c:pt idx="5">
                  <c:v>41732.818181818184</c:v>
                </c:pt>
                <c:pt idx="6">
                  <c:v>42062.333333333336</c:v>
                </c:pt>
                <c:pt idx="7">
                  <c:v>42083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CC-4281-B1A3-9C8F84721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[moum02.xlsm]KT2!Kontingenční tabulka2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Počty prodaných</a:t>
            </a:r>
            <a:r>
              <a:rPr lang="cs-CZ" baseline="0"/>
              <a:t> her a rozšíření na jednotlivých platformách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'KT2'!$B$35</c:f>
              <c:strCache>
                <c:ptCount val="1"/>
                <c:pt idx="0">
                  <c:v>Počet prodaných kusů na PC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'KT2'!$A$36:$A$54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'KT2'!$B$36:$B$54</c:f>
              <c:numCache>
                <c:formatCode>General</c:formatCode>
                <c:ptCount val="18"/>
                <c:pt idx="0">
                  <c:v>0</c:v>
                </c:pt>
                <c:pt idx="1">
                  <c:v>465</c:v>
                </c:pt>
                <c:pt idx="2">
                  <c:v>416</c:v>
                </c:pt>
                <c:pt idx="3">
                  <c:v>724</c:v>
                </c:pt>
                <c:pt idx="4">
                  <c:v>2794</c:v>
                </c:pt>
                <c:pt idx="5">
                  <c:v>0</c:v>
                </c:pt>
                <c:pt idx="6">
                  <c:v>4919</c:v>
                </c:pt>
                <c:pt idx="7">
                  <c:v>895</c:v>
                </c:pt>
                <c:pt idx="8">
                  <c:v>6579</c:v>
                </c:pt>
                <c:pt idx="9">
                  <c:v>3837</c:v>
                </c:pt>
                <c:pt idx="10">
                  <c:v>13101</c:v>
                </c:pt>
                <c:pt idx="11">
                  <c:v>9590</c:v>
                </c:pt>
                <c:pt idx="12">
                  <c:v>18254</c:v>
                </c:pt>
                <c:pt idx="13">
                  <c:v>17422</c:v>
                </c:pt>
                <c:pt idx="14">
                  <c:v>14595</c:v>
                </c:pt>
                <c:pt idx="15">
                  <c:v>14414</c:v>
                </c:pt>
                <c:pt idx="16">
                  <c:v>18671</c:v>
                </c:pt>
                <c:pt idx="17">
                  <c:v>15130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27-4CC7-BDF7-1DFAD862F8B5}"/>
            </c:ext>
          </c:extLst>
        </c:ser>
        <c:ser>
          <c:idx val="1"/>
          <c:order val="1"/>
          <c:tx>
            <c:strRef>
              <c:f>'KT2'!$C$35</c:f>
              <c:strCache>
                <c:ptCount val="1"/>
                <c:pt idx="0">
                  <c:v>Počet prodaných kusů na X1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'KT2'!$A$36:$A$54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'KT2'!$C$36:$C$54</c:f>
              <c:numCache>
                <c:formatCode>General</c:formatCode>
                <c:ptCount val="18"/>
                <c:pt idx="0">
                  <c:v>1204</c:v>
                </c:pt>
                <c:pt idx="1">
                  <c:v>0</c:v>
                </c:pt>
                <c:pt idx="2">
                  <c:v>0</c:v>
                </c:pt>
                <c:pt idx="3">
                  <c:v>1473</c:v>
                </c:pt>
                <c:pt idx="4">
                  <c:v>1673</c:v>
                </c:pt>
                <c:pt idx="5">
                  <c:v>1452</c:v>
                </c:pt>
                <c:pt idx="6">
                  <c:v>8128</c:v>
                </c:pt>
                <c:pt idx="7">
                  <c:v>1142</c:v>
                </c:pt>
                <c:pt idx="8">
                  <c:v>5002</c:v>
                </c:pt>
                <c:pt idx="9">
                  <c:v>3911</c:v>
                </c:pt>
                <c:pt idx="10">
                  <c:v>10596</c:v>
                </c:pt>
                <c:pt idx="11">
                  <c:v>8253</c:v>
                </c:pt>
                <c:pt idx="12">
                  <c:v>13990</c:v>
                </c:pt>
                <c:pt idx="13">
                  <c:v>16135</c:v>
                </c:pt>
                <c:pt idx="14">
                  <c:v>11707</c:v>
                </c:pt>
                <c:pt idx="15">
                  <c:v>17581</c:v>
                </c:pt>
                <c:pt idx="16">
                  <c:v>17996</c:v>
                </c:pt>
                <c:pt idx="17">
                  <c:v>8546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27-4CC7-BDF7-1DFAD862F8B5}"/>
            </c:ext>
          </c:extLst>
        </c:ser>
        <c:ser>
          <c:idx val="2"/>
          <c:order val="2"/>
          <c:tx>
            <c:strRef>
              <c:f>'KT2'!$D$35</c:f>
              <c:strCache>
                <c:ptCount val="1"/>
                <c:pt idx="0">
                  <c:v>Počet prodaných kusů na PS4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'KT2'!$A$36:$A$54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'KT2'!$D$36:$D$54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3595</c:v>
                </c:pt>
                <c:pt idx="7">
                  <c:v>0</c:v>
                </c:pt>
                <c:pt idx="8">
                  <c:v>0</c:v>
                </c:pt>
                <c:pt idx="9">
                  <c:v>1859</c:v>
                </c:pt>
                <c:pt idx="10">
                  <c:v>2354</c:v>
                </c:pt>
                <c:pt idx="11">
                  <c:v>3118</c:v>
                </c:pt>
                <c:pt idx="12">
                  <c:v>13544</c:v>
                </c:pt>
                <c:pt idx="13">
                  <c:v>10432</c:v>
                </c:pt>
                <c:pt idx="14">
                  <c:v>17880</c:v>
                </c:pt>
                <c:pt idx="15">
                  <c:v>12288</c:v>
                </c:pt>
                <c:pt idx="16">
                  <c:v>22275</c:v>
                </c:pt>
                <c:pt idx="17">
                  <c:v>11134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27-4CC7-BDF7-1DFAD862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673296"/>
        <c:axId val="531671984"/>
      </c:lineChart>
      <c:catAx>
        <c:axId val="53167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Roky,</a:t>
                </a:r>
                <a:r>
                  <a:rPr lang="cs-CZ" baseline="0"/>
                  <a:t> kdy byly hry vydány</a:t>
                </a:r>
                <a:endParaRPr lang="cs-CZ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31671984"/>
        <c:crosses val="autoZero"/>
        <c:auto val="1"/>
        <c:lblAlgn val="ctr"/>
        <c:lblOffset val="100"/>
        <c:noMultiLvlLbl val="0"/>
      </c:catAx>
      <c:valAx>
        <c:axId val="53167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Počty prodaných 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3167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[moum02.xlsm]KT3!Kontingenční tabulka1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Průměrná hodnocení</a:t>
            </a:r>
            <a:r>
              <a:rPr lang="cs-CZ" baseline="0"/>
              <a:t> her a rozšíření v průběhu let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'KT3'!$B$33</c:f>
              <c:strCache>
                <c:ptCount val="1"/>
                <c:pt idx="0">
                  <c:v>Průměrné hodnocení uživatelů (PC)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'KT3'!$A$34:$A$52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'KT3'!$B$34:$B$52</c:f>
              <c:numCache>
                <c:formatCode>0"%"</c:formatCode>
                <c:ptCount val="18"/>
                <c:pt idx="1">
                  <c:v>91</c:v>
                </c:pt>
                <c:pt idx="2">
                  <c:v>91</c:v>
                </c:pt>
                <c:pt idx="3">
                  <c:v>90</c:v>
                </c:pt>
                <c:pt idx="4">
                  <c:v>90</c:v>
                </c:pt>
                <c:pt idx="6">
                  <c:v>89.2</c:v>
                </c:pt>
                <c:pt idx="7">
                  <c:v>78</c:v>
                </c:pt>
                <c:pt idx="8">
                  <c:v>91.5</c:v>
                </c:pt>
                <c:pt idx="9">
                  <c:v>92</c:v>
                </c:pt>
                <c:pt idx="10">
                  <c:v>88.333333333333329</c:v>
                </c:pt>
                <c:pt idx="11">
                  <c:v>89.428571428571431</c:v>
                </c:pt>
                <c:pt idx="12">
                  <c:v>88.1875</c:v>
                </c:pt>
                <c:pt idx="13">
                  <c:v>86.142857142857139</c:v>
                </c:pt>
                <c:pt idx="14">
                  <c:v>88.166666666666671</c:v>
                </c:pt>
                <c:pt idx="15">
                  <c:v>83.470588235294116</c:v>
                </c:pt>
                <c:pt idx="16">
                  <c:v>85.666666666666671</c:v>
                </c:pt>
                <c:pt idx="17">
                  <c:v>79.769230769230774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6-4E60-A2DC-88D59E69760F}"/>
            </c:ext>
          </c:extLst>
        </c:ser>
        <c:ser>
          <c:idx val="1"/>
          <c:order val="1"/>
          <c:tx>
            <c:strRef>
              <c:f>'KT3'!$C$33</c:f>
              <c:strCache>
                <c:ptCount val="1"/>
                <c:pt idx="0">
                  <c:v>Průměrné hodnocení uživatelů (X1)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'KT3'!$A$34:$A$52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'KT3'!$C$34:$C$52</c:f>
              <c:numCache>
                <c:formatCode>0"%"</c:formatCode>
                <c:ptCount val="18"/>
                <c:pt idx="0">
                  <c:v>88</c:v>
                </c:pt>
                <c:pt idx="3">
                  <c:v>86</c:v>
                </c:pt>
                <c:pt idx="4">
                  <c:v>92</c:v>
                </c:pt>
                <c:pt idx="5">
                  <c:v>90</c:v>
                </c:pt>
                <c:pt idx="6">
                  <c:v>92</c:v>
                </c:pt>
                <c:pt idx="7">
                  <c:v>45.44</c:v>
                </c:pt>
                <c:pt idx="8">
                  <c:v>88</c:v>
                </c:pt>
                <c:pt idx="9">
                  <c:v>89</c:v>
                </c:pt>
                <c:pt idx="10">
                  <c:v>87.4</c:v>
                </c:pt>
                <c:pt idx="11">
                  <c:v>86</c:v>
                </c:pt>
                <c:pt idx="12">
                  <c:v>85.857142857142861</c:v>
                </c:pt>
                <c:pt idx="13">
                  <c:v>86.428571428571431</c:v>
                </c:pt>
                <c:pt idx="14">
                  <c:v>87.333333333333329</c:v>
                </c:pt>
                <c:pt idx="15">
                  <c:v>83.375</c:v>
                </c:pt>
                <c:pt idx="16">
                  <c:v>87.294117647058826</c:v>
                </c:pt>
                <c:pt idx="17">
                  <c:v>83.5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6-4E60-A2DC-88D59E69760F}"/>
            </c:ext>
          </c:extLst>
        </c:ser>
        <c:ser>
          <c:idx val="2"/>
          <c:order val="2"/>
          <c:tx>
            <c:strRef>
              <c:f>'KT3'!$D$33</c:f>
              <c:strCache>
                <c:ptCount val="1"/>
                <c:pt idx="0">
                  <c:v>Průměrné hodnocení uživatelů (PS4)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'KT3'!$A$34:$A$52</c:f>
              <c:strCache>
                <c:ptCount val="18"/>
                <c:pt idx="0">
                  <c:v>1998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'KT3'!$D$34:$D$52</c:f>
              <c:numCache>
                <c:formatCode>0"%"</c:formatCode>
                <c:ptCount val="18"/>
                <c:pt idx="6">
                  <c:v>90</c:v>
                </c:pt>
                <c:pt idx="9">
                  <c:v>82.5</c:v>
                </c:pt>
                <c:pt idx="10">
                  <c:v>94</c:v>
                </c:pt>
                <c:pt idx="11">
                  <c:v>89.5</c:v>
                </c:pt>
                <c:pt idx="12">
                  <c:v>91.428571428571431</c:v>
                </c:pt>
                <c:pt idx="13">
                  <c:v>89.916666666666671</c:v>
                </c:pt>
                <c:pt idx="14">
                  <c:v>90.615384615384613</c:v>
                </c:pt>
                <c:pt idx="15">
                  <c:v>91.416666666666671</c:v>
                </c:pt>
                <c:pt idx="16">
                  <c:v>91.444444444444443</c:v>
                </c:pt>
                <c:pt idx="1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F6-4E60-A2DC-88D59E697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300472"/>
        <c:axId val="626301128"/>
      </c:lineChart>
      <c:catAx>
        <c:axId val="626300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Roky,</a:t>
                </a:r>
                <a:r>
                  <a:rPr lang="cs-CZ" baseline="0"/>
                  <a:t> kdy byly produkty vydány</a:t>
                </a:r>
                <a:endParaRPr lang="cs-CZ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26301128"/>
        <c:crosses val="autoZero"/>
        <c:auto val="1"/>
        <c:lblAlgn val="ctr"/>
        <c:lblOffset val="100"/>
        <c:noMultiLvlLbl val="0"/>
      </c:catAx>
      <c:valAx>
        <c:axId val="626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Průměrné</a:t>
                </a:r>
                <a:r>
                  <a:rPr lang="cs-CZ" baseline="0"/>
                  <a:t> hodnocení v %</a:t>
                </a:r>
                <a:endParaRPr lang="cs-CZ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2630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  <cx:data id="4">
      <cx:strDim type="cat">
        <cx:f>_xlchart.v1.0</cx:f>
      </cx:strDim>
      <cx:numDim type="val">
        <cx:f>_xlchart.v1.10</cx:f>
      </cx:numDim>
    </cx:data>
  </cx:chartData>
  <cx:chart>
    <cx:title pos="t" align="ctr" overlay="0">
      <cx:tx>
        <cx:txData>
          <cx:v>Histogram průměrné doby dohrání her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cs-CZ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průměrné doby dohrání her</a:t>
          </a:r>
        </a:p>
      </cx:txPr>
    </cx:title>
    <cx:plotArea>
      <cx:plotAreaRegion>
        <cx:series layoutId="clusteredColumn" uniqueId="{04FA4BB5-2A38-4F12-8C0F-7C2475D8C1B2}" formatIdx="0">
          <cx:tx>
            <cx:txData>
              <cx:f>_xlchart.v1.1</cx:f>
              <cx:v>Průměrná doba dohrání her</cx:v>
            </cx:txData>
          </cx:tx>
          <cx:dataId val="0"/>
          <cx:layoutPr>
            <cx:binning intervalClosed="r"/>
          </cx:layoutPr>
        </cx:series>
        <cx:series layoutId="clusteredColumn" hidden="1" uniqueId="{FAD29F53-1B25-410B-A627-D68F6DBAAB7D}" formatIdx="1">
          <cx:tx>
            <cx:txData>
              <cx:f>_xlchart.v1.3</cx:f>
              <cx:v>Průměrná doba dohrání rozšíření</cx:v>
            </cx:txData>
          </cx:tx>
          <cx:dataId val="1"/>
          <cx:layoutPr>
            <cx:binning intervalClosed="r"/>
          </cx:layoutPr>
        </cx:series>
        <cx:series layoutId="clusteredColumn" hidden="1" uniqueId="{E8BBCCE7-5E63-4059-B421-1DBB51FCDB19}" formatIdx="2">
          <cx:tx>
            <cx:txData>
              <cx:f>_xlchart.v1.5</cx:f>
              <cx:v>Průměrné hodnocení her</cx:v>
            </cx:txData>
          </cx:tx>
          <cx:dataId val="2"/>
          <cx:layoutPr>
            <cx:binning intervalClosed="r"/>
          </cx:layoutPr>
        </cx:series>
        <cx:series layoutId="clusteredColumn" hidden="1" uniqueId="{D1E93206-DFEF-4573-B26D-B371D74A2D45}" formatIdx="3">
          <cx:tx>
            <cx:txData>
              <cx:f>_xlchart.v1.7</cx:f>
              <cx:v>Průměrné hodnocení rozšíření</cx:v>
            </cx:txData>
          </cx:tx>
          <cx:dataId val="3"/>
          <cx:layoutPr>
            <cx:binning intervalClosed="r"/>
          </cx:layoutPr>
        </cx:series>
        <cx:series layoutId="clusteredColumn" hidden="1" uniqueId="{BA482A7E-2243-423F-BF4A-94F12C874330}" formatIdx="4">
          <cx:tx>
            <cx:txData>
              <cx:f>_xlchart.v1.9</cx:f>
              <cx:v>Doba od posledního vydání</cx:v>
            </cx:txData>
          </cx:tx>
          <cx:dataId val="4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Rozmezí průměrných dob dohrání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cs-CZ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Rozmezí průměrných dob dohrání</a:t>
              </a:r>
            </a:p>
          </cx:txPr>
        </cx:title>
        <cx:tickLabels/>
      </cx:axis>
      <cx:axis id="1">
        <cx:valScaling/>
        <cx:title>
          <cx:tx>
            <cx:txData>
              <cx:v>Počet her v daném rozmezí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cs-CZ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Počet her v daném rozmezí</a:t>
              </a:r>
            </a:p>
          </cx:txPr>
        </cx:title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Pomocný list'!$B$3" fmlaRange="'Pomocný list'!$B$21:$B$22" noThreeD="1" sel="0" val="0"/>
</file>

<file path=xl/ctrlProps/ctrlProp2.xml><?xml version="1.0" encoding="utf-8"?>
<formControlPr xmlns="http://schemas.microsoft.com/office/spreadsheetml/2009/9/main" objectType="Drop" dropStyle="combo" dx="22" fmlaLink="'Pomocný list'!$I$3" fmlaRange="'Pomocný list'!$I$21:$I$26" noThreeD="1" sel="0" val="0"/>
</file>

<file path=xl/ctrlProps/ctrlProp3.xml><?xml version="1.0" encoding="utf-8"?>
<formControlPr xmlns="http://schemas.microsoft.com/office/spreadsheetml/2009/9/main" objectType="CheckBox" fmlaLink="'Pomocný list'!$F$3" lockText="1" noThreeD="1"/>
</file>

<file path=xl/ctrlProps/ctrlProp4.xml><?xml version="1.0" encoding="utf-8"?>
<formControlPr xmlns="http://schemas.microsoft.com/office/spreadsheetml/2009/9/main" objectType="CheckBox" fmlaLink="'Pomocný list'!$F$4" lockText="1" noThreeD="1"/>
</file>

<file path=xl/ctrlProps/ctrlProp5.xml><?xml version="1.0" encoding="utf-8"?>
<formControlPr xmlns="http://schemas.microsoft.com/office/spreadsheetml/2009/9/main" objectType="CheckBox" fmlaLink="'Pomocný list'!$F$5" lockText="1" noThreeD="1"/>
</file>

<file path=xl/ctrlProps/ctrlProp6.xml><?xml version="1.0" encoding="utf-8"?>
<formControlPr xmlns="http://schemas.microsoft.com/office/spreadsheetml/2009/9/main" objectType="CheckBox" fmlaLink="'Pomocný list'!$F$6" lockText="1" noThreeD="1"/>
</file>

<file path=xl/ctrlProps/ctrlProp7.xml><?xml version="1.0" encoding="utf-8"?>
<formControlPr xmlns="http://schemas.microsoft.com/office/spreadsheetml/2009/9/main" objectType="CheckBox" fmlaLink="'Pomocný list'!$F$7" lockText="1" noThreeD="1"/>
</file>

<file path=xl/ctrlProps/ctrlProp8.xml><?xml version="1.0" encoding="utf-8"?>
<formControlPr xmlns="http://schemas.microsoft.com/office/spreadsheetml/2009/9/main" objectType="CheckBox" fmlaLink="'Pomocný list'!$F$8" lockText="1" noThreeD="1"/>
</file>

<file path=xl/ctrlProps/ctrlProp9.xml><?xml version="1.0" encoding="utf-8"?>
<formControlPr xmlns="http://schemas.microsoft.com/office/spreadsheetml/2009/9/main" objectType="CheckBox" fmlaLink="'Pomocný list'!$F$9" lockText="1" noThreeD="1"/>
</file>

<file path=xl/ctrlProps/ctrlProp10.xml><?xml version="1.0" encoding="utf-8"?>
<formControlPr xmlns="http://schemas.microsoft.com/office/spreadsheetml/2009/9/main" objectType="CheckBox" fmlaLink="'Pomocný list'!$F$10" lockText="1" noThreeD="1"/>
</file>

<file path=xl/ctrlProps/ctrlProp11.xml><?xml version="1.0" encoding="utf-8"?>
<formControlPr xmlns="http://schemas.microsoft.com/office/spreadsheetml/2009/9/main" objectType="CheckBox" fmlaLink="'Pomocný list'!$F$11" lockText="1" noThreeD="1"/>
</file>

<file path=xl/ctrlProps/ctrlProp12.xml><?xml version="1.0" encoding="utf-8"?>
<formControlPr xmlns="http://schemas.microsoft.com/office/spreadsheetml/2009/9/main" objectType="CheckBox" fmlaLink="'Pomocný list'!$F$12" lockText="1" noThreeD="1"/>
</file>

<file path=xl/ctrlProps/ctrlProp13.xml><?xml version="1.0" encoding="utf-8"?>
<formControlPr xmlns="http://schemas.microsoft.com/office/spreadsheetml/2009/9/main" objectType="CheckBox" fmlaLink="'Pomocný list'!$F$13" lockText="1" noThreeD="1"/>
</file>

<file path=xl/ctrlProps/ctrlProp14.xml><?xml version="1.0" encoding="utf-8"?>
<formControlPr xmlns="http://schemas.microsoft.com/office/spreadsheetml/2009/9/main" objectType="CheckBox" fmlaLink="'Pomocný list'!$F$14" lockText="1" noThreeD="1"/>
</file>

<file path=xl/ctrlProps/ctrlProp15.xml><?xml version="1.0" encoding="utf-8"?>
<formControlPr xmlns="http://schemas.microsoft.com/office/spreadsheetml/2009/9/main" objectType="CheckBox" fmlaLink="'Pomocný list'!$F$15" lockText="1" noThreeD="1"/>
</file>

<file path=xl/ctrlProps/ctrlProp16.xml><?xml version="1.0" encoding="utf-8"?>
<formControlPr xmlns="http://schemas.microsoft.com/office/spreadsheetml/2009/9/main" objectType="CheckBox" fmlaLink="'Pomocný list'!$F$16" lockText="1" noThreeD="1"/>
</file>

<file path=xl/ctrlProps/ctrlProp17.xml><?xml version="1.0" encoding="utf-8"?>
<formControlPr xmlns="http://schemas.microsoft.com/office/spreadsheetml/2009/9/main" objectType="CheckBox" fmlaLink="'Pomocný list'!$G$3" lockText="1" noThreeD="1"/>
</file>

<file path=xl/ctrlProps/ctrlProp18.xml><?xml version="1.0" encoding="utf-8"?>
<formControlPr xmlns="http://schemas.microsoft.com/office/spreadsheetml/2009/9/main" objectType="CheckBox" fmlaLink="'Pomocný list'!$G$4" lockText="1" noThreeD="1"/>
</file>

<file path=xl/ctrlProps/ctrlProp19.xml><?xml version="1.0" encoding="utf-8"?>
<formControlPr xmlns="http://schemas.microsoft.com/office/spreadsheetml/2009/9/main" objectType="CheckBox" fmlaLink="'Pomocný list'!$G$5" lockText="1" noThreeD="1"/>
</file>

<file path=xl/ctrlProps/ctrlProp20.xml><?xml version="1.0" encoding="utf-8"?>
<formControlPr xmlns="http://schemas.microsoft.com/office/spreadsheetml/2009/9/main" objectType="CheckBox" fmlaLink="'Pomocný list'!$G$6" lockText="1" noThreeD="1"/>
</file>

<file path=xl/ctrlProps/ctrlProp21.xml><?xml version="1.0" encoding="utf-8"?>
<formControlPr xmlns="http://schemas.microsoft.com/office/spreadsheetml/2009/9/main" objectType="CheckBox" fmlaLink="'Pomocný list'!$G$7" lockText="1" noThreeD="1"/>
</file>

<file path=xl/ctrlProps/ctrlProp22.xml><?xml version="1.0" encoding="utf-8"?>
<formControlPr xmlns="http://schemas.microsoft.com/office/spreadsheetml/2009/9/main" objectType="CheckBox" fmlaLink="'Pomocný list'!$G$8" lockText="1" noThreeD="1"/>
</file>

<file path=xl/ctrlProps/ctrlProp23.xml><?xml version="1.0" encoding="utf-8"?>
<formControlPr xmlns="http://schemas.microsoft.com/office/spreadsheetml/2009/9/main" objectType="CheckBox" fmlaLink="'Pomocný list'!$G$9" lockText="1" noThreeD="1"/>
</file>

<file path=xl/ctrlProps/ctrlProp24.xml><?xml version="1.0" encoding="utf-8"?>
<formControlPr xmlns="http://schemas.microsoft.com/office/spreadsheetml/2009/9/main" objectType="CheckBox" fmlaLink="'Pomocný list'!$G$10" lockText="1" noThreeD="1"/>
</file>

<file path=xl/ctrlProps/ctrlProp25.xml><?xml version="1.0" encoding="utf-8"?>
<formControlPr xmlns="http://schemas.microsoft.com/office/spreadsheetml/2009/9/main" objectType="CheckBox" fmlaLink="'Pomocný list'!$G$11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CheckBox" fmlaLink="'Pomocný list'!$B$39" lockText="1" noThreeD="1"/>
</file>

<file path=xl/ctrlProps/ctrlProp28.xml><?xml version="1.0" encoding="utf-8"?>
<formControlPr xmlns="http://schemas.microsoft.com/office/spreadsheetml/2009/9/main" objectType="CheckBox" fmlaLink="'Pomocný list'!$B$40" lockText="1" noThreeD="1"/>
</file>

<file path=xl/ctrlProps/ctrlProp29.xml><?xml version="1.0" encoding="utf-8"?>
<formControlPr xmlns="http://schemas.microsoft.com/office/spreadsheetml/2009/9/main" objectType="CheckBox" fmlaLink="'Pomocný list'!$B$41" lockText="1" noThreeD="1"/>
</file>

<file path=xl/ctrlProps/ctrlProp30.xml><?xml version="1.0" encoding="utf-8"?>
<formControlPr xmlns="http://schemas.microsoft.com/office/spreadsheetml/2009/9/main" objectType="CheckBox" fmlaLink="'Pomocný list'!$B$42" lockText="1" noThreeD="1"/>
</file>

<file path=xl/ctrlProps/ctrlProp31.xml><?xml version="1.0" encoding="utf-8"?>
<formControlPr xmlns="http://schemas.microsoft.com/office/spreadsheetml/2009/9/main" objectType="CheckBox" fmlaLink="'Pomocný list'!$B$43" lockText="1" noThreeD="1"/>
</file>

<file path=xl/ctrlProps/ctrlProp32.xml><?xml version="1.0" encoding="utf-8"?>
<formControlPr xmlns="http://schemas.microsoft.com/office/spreadsheetml/2009/9/main" objectType="CheckBox" fmlaLink="'Pomocný list'!$B$44" lockText="1" noThreeD="1"/>
</file>

<file path=xl/ctrlProps/ctrlProp33.xml><?xml version="1.0" encoding="utf-8"?>
<formControlPr xmlns="http://schemas.microsoft.com/office/spreadsheetml/2009/9/main" objectType="CheckBox" fmlaLink="'Pomocný list'!$B$45" lockText="1" noThreeD="1"/>
</file>

<file path=xl/ctrlProps/ctrlProp34.xml><?xml version="1.0" encoding="utf-8"?>
<formControlPr xmlns="http://schemas.microsoft.com/office/spreadsheetml/2009/9/main" objectType="CheckBox" fmlaLink="'Pomocný list'!$B$46" lockText="1" noThreeD="1"/>
</file>

<file path=xl/ctrlProps/ctrlProp35.xml><?xml version="1.0" encoding="utf-8"?>
<formControlPr xmlns="http://schemas.microsoft.com/office/spreadsheetml/2009/9/main" objectType="CheckBox" fmlaLink="'Pomocný list'!$B$47" lockText="1" noThreeD="1"/>
</file>

<file path=xl/ctrlProps/ctrlProp36.xml><?xml version="1.0" encoding="utf-8"?>
<formControlPr xmlns="http://schemas.microsoft.com/office/spreadsheetml/2009/9/main" objectType="CheckBox" fmlaLink="'Pomocný list'!$B$48" lockText="1" noThreeD="1"/>
</file>

<file path=xl/ctrlProps/ctrlProp37.xml><?xml version="1.0" encoding="utf-8"?>
<formControlPr xmlns="http://schemas.microsoft.com/office/spreadsheetml/2009/9/main" objectType="CheckBox" fmlaLink="'Pomocný list'!$B$49" lockText="1" noThreeD="1"/>
</file>

<file path=xl/ctrlProps/ctrlProp38.xml><?xml version="1.0" encoding="utf-8"?>
<formControlPr xmlns="http://schemas.microsoft.com/office/spreadsheetml/2009/9/main" objectType="CheckBox" fmlaLink="'Pomocný list'!$B$50" lockText="1" noThreeD="1"/>
</file>

<file path=xl/ctrlProps/ctrlProp39.xml><?xml version="1.0" encoding="utf-8"?>
<formControlPr xmlns="http://schemas.microsoft.com/office/spreadsheetml/2009/9/main" objectType="CheckBox" fmlaLink="'Pomocný list'!$B$51" lockText="1" noThreeD="1"/>
</file>

<file path=xl/ctrlProps/ctrlProp40.xml><?xml version="1.0" encoding="utf-8"?>
<formControlPr xmlns="http://schemas.microsoft.com/office/spreadsheetml/2009/9/main" objectType="CheckBox" fmlaLink="'Pomocný list'!$B$52" lockText="1" noThreeD="1"/>
</file>

<file path=xl/ctrlProps/ctrlProp41.xml><?xml version="1.0" encoding="utf-8"?>
<formControlPr xmlns="http://schemas.microsoft.com/office/spreadsheetml/2009/9/main" objectType="CheckBox" fmlaLink="'Pomocný list'!$C$39" lockText="1" noThreeD="1"/>
</file>

<file path=xl/ctrlProps/ctrlProp42.xml><?xml version="1.0" encoding="utf-8"?>
<formControlPr xmlns="http://schemas.microsoft.com/office/spreadsheetml/2009/9/main" objectType="CheckBox" fmlaLink="'Pomocný list'!$C$40" lockText="1" noThreeD="1"/>
</file>

<file path=xl/ctrlProps/ctrlProp43.xml><?xml version="1.0" encoding="utf-8"?>
<formControlPr xmlns="http://schemas.microsoft.com/office/spreadsheetml/2009/9/main" objectType="CheckBox" fmlaLink="'Pomocný list'!$C$41" lockText="1" noThreeD="1"/>
</file>

<file path=xl/ctrlProps/ctrlProp44.xml><?xml version="1.0" encoding="utf-8"?>
<formControlPr xmlns="http://schemas.microsoft.com/office/spreadsheetml/2009/9/main" objectType="CheckBox" fmlaLink="'Pomocný list'!$C$42" lockText="1" noThreeD="1"/>
</file>

<file path=xl/ctrlProps/ctrlProp45.xml><?xml version="1.0" encoding="utf-8"?>
<formControlPr xmlns="http://schemas.microsoft.com/office/spreadsheetml/2009/9/main" objectType="CheckBox" fmlaLink="'Pomocný list'!$C$43" lockText="1" noThreeD="1"/>
</file>

<file path=xl/ctrlProps/ctrlProp46.xml><?xml version="1.0" encoding="utf-8"?>
<formControlPr xmlns="http://schemas.microsoft.com/office/spreadsheetml/2009/9/main" objectType="CheckBox" fmlaLink="'Pomocný list'!$C$44" lockText="1" noThreeD="1"/>
</file>

<file path=xl/ctrlProps/ctrlProp47.xml><?xml version="1.0" encoding="utf-8"?>
<formControlPr xmlns="http://schemas.microsoft.com/office/spreadsheetml/2009/9/main" objectType="CheckBox" fmlaLink="'Pomocný list'!$C$45" lockText="1" noThreeD="1"/>
</file>

<file path=xl/ctrlProps/ctrlProp48.xml><?xml version="1.0" encoding="utf-8"?>
<formControlPr xmlns="http://schemas.microsoft.com/office/spreadsheetml/2009/9/main" objectType="CheckBox" fmlaLink="'Pomocný list'!$C$46" lockText="1" noThreeD="1"/>
</file>

<file path=xl/ctrlProps/ctrlProp49.xml><?xml version="1.0" encoding="utf-8"?>
<formControlPr xmlns="http://schemas.microsoft.com/office/spreadsheetml/2009/9/main" objectType="CheckBox" fmlaLink="'Pomocný list'!$C$47" lockText="1" noThreeD="1"/>
</file>

<file path=xl/ctrlProps/ctrlProp50.xml><?xml version="1.0" encoding="utf-8"?>
<formControlPr xmlns="http://schemas.microsoft.com/office/spreadsheetml/2009/9/main" objectType="Drop" dropStyle="combo" dx="22" fmlaLink="'Pomocný list'!$D$39" fmlaRange="'Pomocný list'!$I$21:$I$27" noThreeD="1" sel="0" val="0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Drop" dropStyle="combo" dx="22" fmlaLink="'Pomocný list'!$C$69" fmlaRange="'Pomocný list'!$B$69:$B$71" noThreeD="1" sel="2" val="0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Scroll" dx="22" fmlaLink="$L$4" horiz="1" max="500" page="10" val="0"/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19049</xdr:rowOff>
    </xdr:from>
    <xdr:to>
      <xdr:col>1</xdr:col>
      <xdr:colOff>1038225</xdr:colOff>
      <xdr:row>1</xdr:row>
      <xdr:rowOff>257174</xdr:rowOff>
    </xdr:to>
    <xdr:sp macro="[0]!NavigaceNaKartu" textlink="">
      <xdr:nvSpPr>
        <xdr:cNvPr id="2" name="Šipka: doprav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300" y="19049"/>
          <a:ext cx="9810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Další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19050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1628775</xdr:colOff>
          <xdr:row>17</xdr:row>
          <xdr:rowOff>190500</xdr:rowOff>
        </xdr:from>
        <xdr:to>
          <xdr:col>4</xdr:col>
          <xdr:colOff>0</xdr:colOff>
          <xdr:row>19</xdr:row>
          <xdr:rowOff>9525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1200150</xdr:colOff>
          <xdr:row>7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Akční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152400</xdr:rowOff>
        </xdr:from>
        <xdr:to>
          <xdr:col>6</xdr:col>
          <xdr:colOff>1200150</xdr:colOff>
          <xdr:row>7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Adventura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114300</xdr:rowOff>
        </xdr:from>
        <xdr:to>
          <xdr:col>6</xdr:col>
          <xdr:colOff>1200150</xdr:colOff>
          <xdr:row>8</xdr:row>
          <xdr:rowOff>114300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RPG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76200</xdr:rowOff>
        </xdr:from>
        <xdr:to>
          <xdr:col>6</xdr:col>
          <xdr:colOff>1200150</xdr:colOff>
          <xdr:row>9</xdr:row>
          <xdr:rowOff>76200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Otevřený svět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38100</xdr:rowOff>
        </xdr:from>
        <xdr:to>
          <xdr:col>6</xdr:col>
          <xdr:colOff>1200150</xdr:colOff>
          <xdr:row>10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Platformer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1200150</xdr:colOff>
          <xdr:row>11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152400</xdr:rowOff>
        </xdr:from>
        <xdr:to>
          <xdr:col>6</xdr:col>
          <xdr:colOff>1200150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6</xdr:row>
          <xdr:rowOff>0</xdr:rowOff>
        </xdr:from>
        <xdr:to>
          <xdr:col>7</xdr:col>
          <xdr:colOff>466725</xdr:colOff>
          <xdr:row>7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Stealth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6</xdr:row>
          <xdr:rowOff>152400</xdr:rowOff>
        </xdr:from>
        <xdr:to>
          <xdr:col>7</xdr:col>
          <xdr:colOff>466725</xdr:colOff>
          <xdr:row>7</xdr:row>
          <xdr:rowOff>152400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7</xdr:row>
          <xdr:rowOff>114300</xdr:rowOff>
        </xdr:from>
        <xdr:to>
          <xdr:col>7</xdr:col>
          <xdr:colOff>466725</xdr:colOff>
          <xdr:row>8</xdr:row>
          <xdr:rowOff>114300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Horror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8</xdr:row>
          <xdr:rowOff>76200</xdr:rowOff>
        </xdr:from>
        <xdr:to>
          <xdr:col>7</xdr:col>
          <xdr:colOff>466725</xdr:colOff>
          <xdr:row>9</xdr:row>
          <xdr:rowOff>76200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Strategie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9</xdr:row>
          <xdr:rowOff>38100</xdr:rowOff>
        </xdr:from>
        <xdr:to>
          <xdr:col>7</xdr:col>
          <xdr:colOff>466725</xdr:colOff>
          <xdr:row>10</xdr:row>
          <xdr:rowOff>38100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Hack and Slash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10</xdr:row>
          <xdr:rowOff>0</xdr:rowOff>
        </xdr:from>
        <xdr:to>
          <xdr:col>7</xdr:col>
          <xdr:colOff>466725</xdr:colOff>
          <xdr:row>11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Závodní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10</xdr:row>
          <xdr:rowOff>152400</xdr:rowOff>
        </xdr:from>
        <xdr:to>
          <xdr:col>7</xdr:col>
          <xdr:colOff>466725</xdr:colOff>
          <xdr:row>11</xdr:row>
          <xdr:rowOff>152400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Logické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885825</xdr:colOff>
          <xdr:row>14</xdr:row>
          <xdr:rowOff>28575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152400</xdr:rowOff>
        </xdr:from>
        <xdr:to>
          <xdr:col>6</xdr:col>
          <xdr:colOff>885825</xdr:colOff>
          <xdr:row>14</xdr:row>
          <xdr:rowOff>180975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 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114300</xdr:rowOff>
        </xdr:from>
        <xdr:to>
          <xdr:col>6</xdr:col>
          <xdr:colOff>885825</xdr:colOff>
          <xdr:row>15</xdr:row>
          <xdr:rowOff>142875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76200</xdr:rowOff>
        </xdr:from>
        <xdr:to>
          <xdr:col>6</xdr:col>
          <xdr:colOff>885825</xdr:colOff>
          <xdr:row>16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Nintendo Switch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38100</xdr:rowOff>
        </xdr:from>
        <xdr:to>
          <xdr:col>6</xdr:col>
          <xdr:colOff>885825</xdr:colOff>
          <xdr:row>17</xdr:row>
          <xdr:rowOff>66675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 360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13</xdr:row>
          <xdr:rowOff>0</xdr:rowOff>
        </xdr:from>
        <xdr:to>
          <xdr:col>7</xdr:col>
          <xdr:colOff>152400</xdr:colOff>
          <xdr:row>14</xdr:row>
          <xdr:rowOff>28575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13</xdr:row>
          <xdr:rowOff>152400</xdr:rowOff>
        </xdr:from>
        <xdr:to>
          <xdr:col>7</xdr:col>
          <xdr:colOff>152400</xdr:colOff>
          <xdr:row>14</xdr:row>
          <xdr:rowOff>180975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Vita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14</xdr:row>
          <xdr:rowOff>114300</xdr:rowOff>
        </xdr:from>
        <xdr:to>
          <xdr:col>7</xdr:col>
          <xdr:colOff>152400</xdr:colOff>
          <xdr:row>15</xdr:row>
          <xdr:rowOff>142875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1171575</xdr:colOff>
          <xdr:row>15</xdr:row>
          <xdr:rowOff>76200</xdr:rowOff>
        </xdr:from>
        <xdr:to>
          <xdr:col>7</xdr:col>
          <xdr:colOff>152400</xdr:colOff>
          <xdr:row>16</xdr:row>
          <xdr:rowOff>104775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28575</xdr:rowOff>
        </xdr:from>
        <xdr:to>
          <xdr:col>7</xdr:col>
          <xdr:colOff>0</xdr:colOff>
          <xdr:row>32</xdr:row>
          <xdr:rowOff>142875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Vložit záznam o hře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342900</xdr:colOff>
      <xdr:row>0</xdr:row>
      <xdr:rowOff>0</xdr:rowOff>
    </xdr:from>
    <xdr:to>
      <xdr:col>2</xdr:col>
      <xdr:colOff>1323975</xdr:colOff>
      <xdr:row>1</xdr:row>
      <xdr:rowOff>227775</xdr:rowOff>
    </xdr:to>
    <xdr:sp macro="[0]!NavigaceNaData" textlink="">
      <xdr:nvSpPr>
        <xdr:cNvPr id="31" name="Šipka: doprava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457325" y="0"/>
          <a:ext cx="981075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  <xdr:twoCellAnchor>
    <xdr:from>
      <xdr:col>0</xdr:col>
      <xdr:colOff>114300</xdr:colOff>
      <xdr:row>0</xdr:row>
      <xdr:rowOff>9524</xdr:rowOff>
    </xdr:from>
    <xdr:to>
      <xdr:col>1</xdr:col>
      <xdr:colOff>476700</xdr:colOff>
      <xdr:row>1</xdr:row>
      <xdr:rowOff>219299</xdr:rowOff>
    </xdr:to>
    <xdr:sp macro="[0]!NavigaceNaUvod" textlink="">
      <xdr:nvSpPr>
        <xdr:cNvPr id="3" name="Šipka: dolev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300" y="9524"/>
          <a:ext cx="972000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111357</xdr:colOff>
      <xdr:row>0</xdr:row>
      <xdr:rowOff>4760</xdr:rowOff>
    </xdr:from>
    <xdr:to>
      <xdr:col>0</xdr:col>
      <xdr:colOff>1083357</xdr:colOff>
      <xdr:row>1</xdr:row>
      <xdr:rowOff>214535</xdr:rowOff>
    </xdr:to>
    <xdr:sp macro="[0]!NavigaceNaKartu" textlink="">
      <xdr:nvSpPr>
        <xdr:cNvPr id="5" name="Šipka: dolev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1357" y="4760"/>
          <a:ext cx="972000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>
    <xdr:from>
      <xdr:col>0</xdr:col>
      <xdr:colOff>1457325</xdr:colOff>
      <xdr:row>0</xdr:row>
      <xdr:rowOff>0</xdr:rowOff>
    </xdr:from>
    <xdr:to>
      <xdr:col>2</xdr:col>
      <xdr:colOff>190500</xdr:colOff>
      <xdr:row>1</xdr:row>
      <xdr:rowOff>227775</xdr:rowOff>
    </xdr:to>
    <xdr:sp macro="[0]!NavigaceNaVypocty" textlink="">
      <xdr:nvSpPr>
        <xdr:cNvPr id="6" name="Šipka: doprav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57325" y="0"/>
          <a:ext cx="990600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2</xdr:row>
          <xdr:rowOff>180975</xdr:rowOff>
        </xdr:from>
        <xdr:to>
          <xdr:col>1</xdr:col>
          <xdr:colOff>371475</xdr:colOff>
          <xdr:row>4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Akční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142875</xdr:rowOff>
        </xdr:from>
        <xdr:to>
          <xdr:col>1</xdr:col>
          <xdr:colOff>371475</xdr:colOff>
          <xdr:row>4</xdr:row>
          <xdr:rowOff>171450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Adventura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4</xdr:row>
          <xdr:rowOff>104775</xdr:rowOff>
        </xdr:from>
        <xdr:to>
          <xdr:col>1</xdr:col>
          <xdr:colOff>371475</xdr:colOff>
          <xdr:row>5</xdr:row>
          <xdr:rowOff>133350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RPG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5</xdr:row>
          <xdr:rowOff>66675</xdr:rowOff>
        </xdr:from>
        <xdr:to>
          <xdr:col>1</xdr:col>
          <xdr:colOff>371475</xdr:colOff>
          <xdr:row>6</xdr:row>
          <xdr:rowOff>95250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Otveřený svět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6</xdr:row>
          <xdr:rowOff>28575</xdr:rowOff>
        </xdr:from>
        <xdr:to>
          <xdr:col>1</xdr:col>
          <xdr:colOff>371475</xdr:colOff>
          <xdr:row>7</xdr:row>
          <xdr:rowOff>57150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Platformer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6</xdr:row>
          <xdr:rowOff>180975</xdr:rowOff>
        </xdr:from>
        <xdr:to>
          <xdr:col>1</xdr:col>
          <xdr:colOff>371475</xdr:colOff>
          <xdr:row>8</xdr:row>
          <xdr:rowOff>19050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7</xdr:row>
          <xdr:rowOff>142875</xdr:rowOff>
        </xdr:from>
        <xdr:to>
          <xdr:col>1</xdr:col>
          <xdr:colOff>371475</xdr:colOff>
          <xdr:row>8</xdr:row>
          <xdr:rowOff>171450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</xdr:row>
          <xdr:rowOff>180975</xdr:rowOff>
        </xdr:from>
        <xdr:to>
          <xdr:col>2</xdr:col>
          <xdr:colOff>952500</xdr:colOff>
          <xdr:row>4</xdr:row>
          <xdr:rowOff>19050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Stealth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142875</xdr:rowOff>
        </xdr:from>
        <xdr:to>
          <xdr:col>2</xdr:col>
          <xdr:colOff>952500</xdr:colOff>
          <xdr:row>4</xdr:row>
          <xdr:rowOff>171450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</xdr:row>
          <xdr:rowOff>104775</xdr:rowOff>
        </xdr:from>
        <xdr:to>
          <xdr:col>2</xdr:col>
          <xdr:colOff>952500</xdr:colOff>
          <xdr:row>5</xdr:row>
          <xdr:rowOff>133350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Horror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5</xdr:row>
          <xdr:rowOff>66675</xdr:rowOff>
        </xdr:from>
        <xdr:to>
          <xdr:col>2</xdr:col>
          <xdr:colOff>952500</xdr:colOff>
          <xdr:row>6</xdr:row>
          <xdr:rowOff>95250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Strategie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</xdr:row>
          <xdr:rowOff>28575</xdr:rowOff>
        </xdr:from>
        <xdr:to>
          <xdr:col>2</xdr:col>
          <xdr:colOff>952500</xdr:colOff>
          <xdr:row>7</xdr:row>
          <xdr:rowOff>57150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Hack and Slash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</xdr:row>
          <xdr:rowOff>180975</xdr:rowOff>
        </xdr:from>
        <xdr:to>
          <xdr:col>2</xdr:col>
          <xdr:colOff>952500</xdr:colOff>
          <xdr:row>8</xdr:row>
          <xdr:rowOff>19050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Závodní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7</xdr:row>
          <xdr:rowOff>142875</xdr:rowOff>
        </xdr:from>
        <xdr:to>
          <xdr:col>2</xdr:col>
          <xdr:colOff>952500</xdr:colOff>
          <xdr:row>8</xdr:row>
          <xdr:rowOff>171450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Logické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</xdr:row>
          <xdr:rowOff>180975</xdr:rowOff>
        </xdr:from>
        <xdr:to>
          <xdr:col>3</xdr:col>
          <xdr:colOff>1266825</xdr:colOff>
          <xdr:row>4</xdr:row>
          <xdr:rowOff>19050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1266825</xdr:colOff>
          <xdr:row>4</xdr:row>
          <xdr:rowOff>171450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 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4</xdr:row>
          <xdr:rowOff>104775</xdr:rowOff>
        </xdr:from>
        <xdr:to>
          <xdr:col>3</xdr:col>
          <xdr:colOff>1266825</xdr:colOff>
          <xdr:row>5</xdr:row>
          <xdr:rowOff>133350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5</xdr:row>
          <xdr:rowOff>66675</xdr:rowOff>
        </xdr:from>
        <xdr:to>
          <xdr:col>3</xdr:col>
          <xdr:colOff>1266825</xdr:colOff>
          <xdr:row>6</xdr:row>
          <xdr:rowOff>95250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Nintendo Switch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6</xdr:row>
          <xdr:rowOff>28575</xdr:rowOff>
        </xdr:from>
        <xdr:to>
          <xdr:col>3</xdr:col>
          <xdr:colOff>1266825</xdr:colOff>
          <xdr:row>7</xdr:row>
          <xdr:rowOff>57150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 360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2</xdr:row>
          <xdr:rowOff>171450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3</xdr:row>
          <xdr:rowOff>133350</xdr:rowOff>
        </xdr:from>
        <xdr:to>
          <xdr:col>5</xdr:col>
          <xdr:colOff>514350</xdr:colOff>
          <xdr:row>4</xdr:row>
          <xdr:rowOff>161925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Vita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4</xdr:row>
          <xdr:rowOff>95250</xdr:rowOff>
        </xdr:from>
        <xdr:to>
          <xdr:col>5</xdr:col>
          <xdr:colOff>514350</xdr:colOff>
          <xdr:row>5</xdr:row>
          <xdr:rowOff>123825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Playstation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5</xdr:row>
          <xdr:rowOff>57150</xdr:rowOff>
        </xdr:from>
        <xdr:to>
          <xdr:col>5</xdr:col>
          <xdr:colOff>514350</xdr:colOff>
          <xdr:row>6</xdr:row>
          <xdr:rowOff>85725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1724025</xdr:colOff>
          <xdr:row>8</xdr:row>
          <xdr:rowOff>9525</xdr:rowOff>
        </xdr:to>
        <xdr:sp macro="" textlink="">
          <xdr:nvSpPr>
            <xdr:cNvPr id="4124" name="Drop Dow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6</xdr:col>
          <xdr:colOff>295275</xdr:colOff>
          <xdr:row>10</xdr:row>
          <xdr:rowOff>85725</xdr:rowOff>
        </xdr:to>
        <xdr:sp macro="" textlink="">
          <xdr:nvSpPr>
            <xdr:cNvPr id="4125" name="Group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Filtrování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38100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Filtrovat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38100</xdr:rowOff>
        </xdr:from>
        <xdr:to>
          <xdr:col>3</xdr:col>
          <xdr:colOff>219075</xdr:colOff>
          <xdr:row>10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Vyčistit nastavení filtru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9</xdr:row>
          <xdr:rowOff>38100</xdr:rowOff>
        </xdr:from>
        <xdr:to>
          <xdr:col>4</xdr:col>
          <xdr:colOff>571500</xdr:colOff>
          <xdr:row>10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Resetovat filtrování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38100</xdr:rowOff>
        </xdr:from>
        <xdr:to>
          <xdr:col>11</xdr:col>
          <xdr:colOff>762000</xdr:colOff>
          <xdr:row>10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Vyznačit hodnoty v tabulce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2</xdr:row>
          <xdr:rowOff>66675</xdr:rowOff>
        </xdr:from>
        <xdr:to>
          <xdr:col>12</xdr:col>
          <xdr:colOff>142875</xdr:colOff>
          <xdr:row>10</xdr:row>
          <xdr:rowOff>76200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Formátování oblastí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38100</xdr:rowOff>
        </xdr:from>
        <xdr:to>
          <xdr:col>8</xdr:col>
          <xdr:colOff>285750</xdr:colOff>
          <xdr:row>10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Smazat vyznačení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9</xdr:row>
          <xdr:rowOff>38100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Vypočítat počet kusů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2</xdr:row>
          <xdr:rowOff>66675</xdr:rowOff>
        </xdr:from>
        <xdr:to>
          <xdr:col>17</xdr:col>
          <xdr:colOff>209550</xdr:colOff>
          <xdr:row>10</xdr:row>
          <xdr:rowOff>76200</xdr:rowOff>
        </xdr:to>
        <xdr:sp macro="" textlink="">
          <xdr:nvSpPr>
            <xdr:cNvPr id="4138" name="Group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Výpočet počtu kusů hry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38100</xdr:rowOff>
        </xdr:from>
        <xdr:to>
          <xdr:col>20</xdr:col>
          <xdr:colOff>600075</xdr:colOff>
          <xdr:row>10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Formátovat výběr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4140" name="Drop Dow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409575</xdr:colOff>
          <xdr:row>2</xdr:row>
          <xdr:rowOff>66675</xdr:rowOff>
        </xdr:from>
        <xdr:to>
          <xdr:col>21</xdr:col>
          <xdr:colOff>209550</xdr:colOff>
          <xdr:row>10</xdr:row>
          <xdr:rowOff>66675</xdr:rowOff>
        </xdr:to>
        <xdr:sp macro="" textlink="">
          <xdr:nvSpPr>
            <xdr:cNvPr id="4141" name="Group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cs-C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Formátování výběru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9</xdr:row>
          <xdr:rowOff>38100</xdr:rowOff>
        </xdr:from>
        <xdr:to>
          <xdr:col>14</xdr:col>
          <xdr:colOff>571500</xdr:colOff>
          <xdr:row>10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Vymazat výpočet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11</xdr:col>
          <xdr:colOff>800100</xdr:colOff>
          <xdr:row>4</xdr:row>
          <xdr:rowOff>180975</xdr:rowOff>
        </xdr:to>
        <xdr:sp macro="" textlink="">
          <xdr:nvSpPr>
            <xdr:cNvPr id="4143" name="Scroll Bar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0</xdr:rowOff>
    </xdr:from>
    <xdr:to>
      <xdr:col>0</xdr:col>
      <xdr:colOff>1086300</xdr:colOff>
      <xdr:row>1</xdr:row>
      <xdr:rowOff>209775</xdr:rowOff>
    </xdr:to>
    <xdr:sp macro="[0]!NavigaceNaData" textlink="">
      <xdr:nvSpPr>
        <xdr:cNvPr id="3" name="Šipka: dolev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4300" y="0"/>
          <a:ext cx="972000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990600</xdr:colOff>
      <xdr:row>1</xdr:row>
      <xdr:rowOff>227775</xdr:rowOff>
    </xdr:to>
    <xdr:sp macro="[0]!NavigaceNaKT1" textlink="">
      <xdr:nvSpPr>
        <xdr:cNvPr id="5" name="Šipka: doprav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47800" y="0"/>
          <a:ext cx="990600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  <xdr:twoCellAnchor>
    <xdr:from>
      <xdr:col>0</xdr:col>
      <xdr:colOff>0</xdr:colOff>
      <xdr:row>1</xdr:row>
      <xdr:rowOff>276224</xdr:rowOff>
    </xdr:from>
    <xdr:to>
      <xdr:col>7</xdr:col>
      <xdr:colOff>0</xdr:colOff>
      <xdr:row>16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f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52449"/>
              <a:ext cx="7791450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graf není ve vaší verzi aplikace Excel dostupný.
Pokud upravíte tento obrazec nebo tento sešit uložíte v jiném formátu souboru, pak se graf trvale poruší.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1266825</xdr:colOff>
      <xdr:row>28</xdr:row>
      <xdr:rowOff>0</xdr:rowOff>
    </xdr:from>
    <xdr:to>
      <xdr:col>11</xdr:col>
      <xdr:colOff>0</xdr:colOff>
      <xdr:row>37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 vydání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vydání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19650" y="933450"/>
              <a:ext cx="8362950" cy="1685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Časová osa: Funguje ve verzi Excel 2013 nebo novější. Nepřesunujte ji ani neměňte její velikost.</a:t>
              </a:r>
            </a:p>
          </xdr:txBody>
        </xdr:sp>
      </mc:Fallback>
    </mc:AlternateContent>
    <xdr:clientData/>
  </xdr:twoCellAnchor>
  <xdr:twoCellAnchor>
    <xdr:from>
      <xdr:col>0</xdr:col>
      <xdr:colOff>114300</xdr:colOff>
      <xdr:row>0</xdr:row>
      <xdr:rowOff>0</xdr:rowOff>
    </xdr:from>
    <xdr:to>
      <xdr:col>0</xdr:col>
      <xdr:colOff>1086300</xdr:colOff>
      <xdr:row>1</xdr:row>
      <xdr:rowOff>209775</xdr:rowOff>
    </xdr:to>
    <xdr:sp macro="[0]!NavigaceNaVypocty" textlink="">
      <xdr:nvSpPr>
        <xdr:cNvPr id="4" name="Šipka: doleva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4300" y="0"/>
          <a:ext cx="972000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>
    <xdr:from>
      <xdr:col>1</xdr:col>
      <xdr:colOff>447674</xdr:colOff>
      <xdr:row>0</xdr:row>
      <xdr:rowOff>0</xdr:rowOff>
    </xdr:from>
    <xdr:to>
      <xdr:col>2</xdr:col>
      <xdr:colOff>314324</xdr:colOff>
      <xdr:row>1</xdr:row>
      <xdr:rowOff>227775</xdr:rowOff>
    </xdr:to>
    <xdr:sp macro="[0]!NavigaceNaKT2" textlink="">
      <xdr:nvSpPr>
        <xdr:cNvPr id="5" name="Šipka: doprava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457324" y="0"/>
          <a:ext cx="847725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  <xdr:twoCellAnchor editAs="oneCell">
    <xdr:from>
      <xdr:col>0</xdr:col>
      <xdr:colOff>123824</xdr:colOff>
      <xdr:row>28</xdr:row>
      <xdr:rowOff>0</xdr:rowOff>
    </xdr:from>
    <xdr:to>
      <xdr:col>2</xdr:col>
      <xdr:colOff>1047750</xdr:colOff>
      <xdr:row>37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Vydavatel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ydavat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4" y="838200"/>
              <a:ext cx="2867026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  <xdr:twoCellAnchor>
    <xdr:from>
      <xdr:col>0</xdr:col>
      <xdr:colOff>9524</xdr:colOff>
      <xdr:row>4</xdr:row>
      <xdr:rowOff>953</xdr:rowOff>
    </xdr:from>
    <xdr:to>
      <xdr:col>6</xdr:col>
      <xdr:colOff>238125</xdr:colOff>
      <xdr:row>27</xdr:row>
      <xdr:rowOff>1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476249</xdr:colOff>
      <xdr:row>21</xdr:row>
      <xdr:rowOff>0</xdr:rowOff>
    </xdr:from>
    <xdr:to>
      <xdr:col>10</xdr:col>
      <xdr:colOff>1095374</xdr:colOff>
      <xdr:row>27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yp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3849" y="4171950"/>
              <a:ext cx="3419475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0</xdr:rowOff>
    </xdr:from>
    <xdr:to>
      <xdr:col>0</xdr:col>
      <xdr:colOff>1095825</xdr:colOff>
      <xdr:row>1</xdr:row>
      <xdr:rowOff>209775</xdr:rowOff>
    </xdr:to>
    <xdr:sp macro="[0]!NavigaceNaKT1" textlink="">
      <xdr:nvSpPr>
        <xdr:cNvPr id="2" name="Šipka: dolev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3825" y="0"/>
          <a:ext cx="972000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 editAs="oneCell">
    <xdr:from>
      <xdr:col>3</xdr:col>
      <xdr:colOff>0</xdr:colOff>
      <xdr:row>25</xdr:row>
      <xdr:rowOff>0</xdr:rowOff>
    </xdr:from>
    <xdr:to>
      <xdr:col>5</xdr:col>
      <xdr:colOff>1333499</xdr:colOff>
      <xdr:row>33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vydání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vydání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50" y="4933950"/>
              <a:ext cx="6753225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Časová osa: Funguje ve verzi Excel 2013 nebo novější. Nepřesunujte ji ani neměňte její velikost.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25</xdr:row>
      <xdr:rowOff>0</xdr:rowOff>
    </xdr:from>
    <xdr:to>
      <xdr:col>2</xdr:col>
      <xdr:colOff>447675</xdr:colOff>
      <xdr:row>31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yp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933950"/>
              <a:ext cx="3238500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  <xdr:twoCellAnchor>
    <xdr:from>
      <xdr:col>1</xdr:col>
      <xdr:colOff>600075</xdr:colOff>
      <xdr:row>0</xdr:row>
      <xdr:rowOff>0</xdr:rowOff>
    </xdr:from>
    <xdr:to>
      <xdr:col>1</xdr:col>
      <xdr:colOff>1485900</xdr:colOff>
      <xdr:row>1</xdr:row>
      <xdr:rowOff>227775</xdr:rowOff>
    </xdr:to>
    <xdr:sp macro="[0]!NavigaceNaKT3" textlink="">
      <xdr:nvSpPr>
        <xdr:cNvPr id="5" name="Šipka: doprava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647825" y="0"/>
          <a:ext cx="885825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  <xdr:twoCellAnchor>
    <xdr:from>
      <xdr:col>0</xdr:col>
      <xdr:colOff>2</xdr:colOff>
      <xdr:row>4</xdr:row>
      <xdr:rowOff>0</xdr:rowOff>
    </xdr:from>
    <xdr:to>
      <xdr:col>6</xdr:col>
      <xdr:colOff>1</xdr:colOff>
      <xdr:row>23</xdr:row>
      <xdr:rowOff>190499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4762</xdr:rowOff>
    </xdr:from>
    <xdr:to>
      <xdr:col>9</xdr:col>
      <xdr:colOff>0</xdr:colOff>
      <xdr:row>22</xdr:row>
      <xdr:rowOff>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333375</xdr:colOff>
      <xdr:row>23</xdr:row>
      <xdr:rowOff>0</xdr:rowOff>
    </xdr:from>
    <xdr:to>
      <xdr:col>9</xdr:col>
      <xdr:colOff>0</xdr:colOff>
      <xdr:row>31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 vydání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vydání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6050" y="4552950"/>
              <a:ext cx="6515100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Časová osa: Funguje ve verzi Excel 2013 nebo novější. Nepřesunujte ji ani neměňte její velikost.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0</xdr:rowOff>
    </xdr:from>
    <xdr:to>
      <xdr:col>2</xdr:col>
      <xdr:colOff>0</xdr:colOff>
      <xdr:row>28</xdr:row>
      <xdr:rowOff>190499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yp 2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552950"/>
              <a:ext cx="2352675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  <xdr:twoCellAnchor>
    <xdr:from>
      <xdr:col>0</xdr:col>
      <xdr:colOff>95250</xdr:colOff>
      <xdr:row>0</xdr:row>
      <xdr:rowOff>0</xdr:rowOff>
    </xdr:from>
    <xdr:to>
      <xdr:col>1</xdr:col>
      <xdr:colOff>450</xdr:colOff>
      <xdr:row>1</xdr:row>
      <xdr:rowOff>209775</xdr:rowOff>
    </xdr:to>
    <xdr:sp macro="[0]!NavigaceNaKT2" textlink="">
      <xdr:nvSpPr>
        <xdr:cNvPr id="5" name="Šipka: doleva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5250" y="0"/>
          <a:ext cx="924375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>
    <xdr:from>
      <xdr:col>1</xdr:col>
      <xdr:colOff>561975</xdr:colOff>
      <xdr:row>0</xdr:row>
      <xdr:rowOff>0</xdr:rowOff>
    </xdr:from>
    <xdr:to>
      <xdr:col>2</xdr:col>
      <xdr:colOff>114300</xdr:colOff>
      <xdr:row>1</xdr:row>
      <xdr:rowOff>227775</xdr:rowOff>
    </xdr:to>
    <xdr:sp macro="[0]!NavigaceNaKT4" textlink="">
      <xdr:nvSpPr>
        <xdr:cNvPr id="6" name="Šipka: doprava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81150" y="0"/>
          <a:ext cx="885825" cy="504000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cs-CZ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Další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0</xdr:rowOff>
    </xdr:from>
    <xdr:to>
      <xdr:col>0</xdr:col>
      <xdr:colOff>1152525</xdr:colOff>
      <xdr:row>1</xdr:row>
      <xdr:rowOff>209775</xdr:rowOff>
    </xdr:to>
    <xdr:sp macro="[0]!NavigaceNaKT3" textlink="">
      <xdr:nvSpPr>
        <xdr:cNvPr id="2" name="Šipka: dolev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0"/>
          <a:ext cx="1076325" cy="486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Předchozí</a:t>
          </a:r>
        </a:p>
      </xdr:txBody>
    </xdr:sp>
    <xdr:clientData/>
  </xdr:twoCellAnchor>
  <xdr:twoCellAnchor editAs="oneCell">
    <xdr:from>
      <xdr:col>2</xdr:col>
      <xdr:colOff>1333499</xdr:colOff>
      <xdr:row>7</xdr:row>
      <xdr:rowOff>0</xdr:rowOff>
    </xdr:from>
    <xdr:to>
      <xdr:col>6</xdr:col>
      <xdr:colOff>1924049</xdr:colOff>
      <xdr:row>16</xdr:row>
      <xdr:rowOff>190499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 vydání 3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vydání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81624" y="1504950"/>
              <a:ext cx="7172325" cy="1904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Časová osa: Funguje ve verzi Excel 2013 nebo novější. Nepřesunujte ji ani neměňte její velikost.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1</xdr:col>
      <xdr:colOff>866775</xdr:colOff>
      <xdr:row>15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ývojář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ývojář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33451"/>
              <a:ext cx="3571875" cy="2095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 Moudrý" refreshedDate="43483.804554861112" createdVersion="6" refreshedVersion="6" minRefreshableVersion="3" recordCount="153" xr:uid="{411EE961-DD77-4CDA-849B-AD4E339955B1}">
  <cacheSource type="worksheet">
    <worksheetSource name="SeznamHer"/>
  </cacheSource>
  <cacheFields count="20">
    <cacheField name="Název" numFmtId="0">
      <sharedItems containsMixedTypes="1" containsNumber="1" containsInteger="1" minValue="0" maxValue="0" count="154">
        <s v="Super Smash Bros. Ultimate "/>
        <s v="Red Dead Redemption 2"/>
        <s v="Thronebreaker: The Witcher Tales"/>
        <s v="Assassin's Creed: Odyssey"/>
        <s v="Forza Horizon 4"/>
        <s v="Shadow of the Tomb Raider"/>
        <s v="Marvel's Spider-Man"/>
        <s v="Overcooked 2"/>
        <s v="Prey: Mooncrash"/>
        <s v="Vampyr"/>
        <s v="Detroit: Become Human"/>
        <s v="Far Cry 5"/>
        <s v="Chuchel"/>
        <s v="Frostpunk"/>
        <s v="God Of War (2018)"/>
        <s v="We Happy Few"/>
        <s v="Pillars of Eternity II: Deadfire"/>
        <s v="Kingdom Come: Deliverance"/>
        <s v="Super Mario Odyssey "/>
        <s v="Wolfenstein II: The New Colossus"/>
        <s v="Assassin's Creed: Origins"/>
        <s v="The Evil Within 2"/>
        <s v="Middle-Earth: Shadow of War"/>
        <s v="Forza Motorsport 7"/>
        <s v="Cuphead"/>
        <s v="Dishonored: Death of the Outsider"/>
        <s v="Last Day of June"/>
        <s v="Uncharted: The Lost Legacy"/>
        <s v="Observer"/>
        <s v="Hellblade: Senua's Sacrifice"/>
        <s v="Darkest Dungeon: The Crimson Court"/>
        <s v="The Surge"/>
        <s v="Thimbleweed Park"/>
        <s v="Nier: Automata"/>
        <s v="Prey (2017)"/>
        <s v="The Legend of Zelda: Breath of the Wild"/>
        <s v="Little Nightmares"/>
        <s v="What Remains of Edith Finch"/>
        <s v="Persona 5"/>
        <s v="Hollow Knight"/>
        <s v="Forza Horizon 3: Blizzard Mountain"/>
        <s v="Dead Rising 4"/>
        <s v="Final Fantasy XV"/>
        <s v="Watch Dogs 2"/>
        <s v="Dishonored 2"/>
        <s v="Beholder"/>
        <s v="Gears of War 4"/>
        <s v="Forza Horizon 3"/>
        <s v="ReCore"/>
        <s v="Inside"/>
        <s v="Fallout 4: Far Harbor"/>
        <s v="The Witcher 3: Blood and Wine "/>
        <s v="Ori and the Blind Forest: Definitive Edition"/>
        <s v="Uncharted 4: A Thief's End"/>
        <s v="The Banner Saga 2"/>
        <s v="Quantum Break"/>
        <s v="Stardew Valley"/>
        <s v="Yakuza Kiwami"/>
        <s v="Oxenfree"/>
        <s v="Assassin's Creed: Syndicate"/>
        <s v="Fallout 4"/>
        <s v="Rise of the Tomb Raider"/>
        <s v="Kingdom: Classic"/>
        <s v="The Witcher 3: Hearts of Stone"/>
        <s v="Forza Motorsport 6"/>
        <s v="Mad Max (2015)"/>
        <s v="The Witcher 3"/>
        <s v="Wolfenstein: The Old Blood"/>
        <s v="Bloodborne"/>
        <s v="Hotline Miami 2: Wrong Number"/>
        <s v="The Order: 1886"/>
        <s v="Darkest Dungeon"/>
        <s v="Life Is Strange"/>
        <s v="Dying Light"/>
        <s v="Tales from the Borderlands"/>
        <s v="Far Cry 4"/>
        <s v="This War of Mine"/>
        <s v="Assassin’s Creed: Rogue"/>
        <s v="Assassin's Creed: Unity"/>
        <s v="Sunset Overdrive"/>
        <s v="The Evil Within"/>
        <s v="Alien: Isolation"/>
        <s v="Forza Horizon 2"/>
        <s v="Middle-Earth: Shadow of Mordor"/>
        <s v="D4: Dark Dreams Don't Die"/>
        <s v="Valiant Hearts: The Great War"/>
        <s v="Wolfenstein: The New Order"/>
        <s v="BioShock Infinite: Burial at Sea - Episode 2"/>
        <s v="Broforce"/>
        <s v="Ryse: Son of Rome"/>
        <s v="Killzone: Shadow Fall"/>
        <s v="BioShock Infinite: Burial at Sea - Episode 1"/>
        <s v="Assassin's Creed IV: Black Flag"/>
        <s v="The Wolf Among Us"/>
        <s v="Grand Theft Auto V"/>
        <s v="Outlast"/>
        <s v="Dishonored: The Brigmore Witches"/>
        <s v="Papers, Please"/>
        <s v="State of Decay"/>
        <s v="Gunpoint"/>
        <s v="The Swapper"/>
        <s v="Metro: Last Light"/>
        <s v="The Last of Us"/>
        <s v="Bioshock Infinite"/>
        <s v="Dishonored: The Knife of Dunwall"/>
        <s v="Sleeping Dogs: The Year of the Snake"/>
        <s v="Tomb Raider (2013)"/>
        <s v="Forza Horizon: Rally"/>
        <s v="Far Cry 3"/>
        <s v="Forza Horizon"/>
        <s v="Fallout: New Vegas"/>
        <s v="Dishonored"/>
        <s v="Borderlands 2"/>
        <s v="Sleeping Dogs"/>
        <s v="Darksiders 2"/>
        <s v="Spec Ops: The Line"/>
        <s v="Gears of War 3: RAAM's Shadow"/>
        <s v="Assassin's Creed: Revelations"/>
        <s v="The Elder Scrolls V: Skyrim"/>
        <s v="The Binding of Isaac"/>
        <s v="Dark Souls"/>
        <s v="Gears of War 3"/>
        <s v="Deus Ex: Human Revolution"/>
        <s v="L.A. Noire"/>
        <s v="The Legend of Zelda: Ocarina of Time "/>
        <s v="The Witcher 2: Assassins of Kings"/>
        <s v="Crysis 2"/>
        <s v="Portal 2"/>
        <s v="Mafia II"/>
        <s v="Metro 2033"/>
        <s v="Red Dead Redemption"/>
        <s v="Mass Effect 2"/>
        <s v="Darksiders"/>
        <s v="Left 4 Dead 2"/>
        <s v="Assassin's Creed II"/>
        <s v="Gears of War 2: Road to Ruin"/>
        <s v="Plants vs. Zombies"/>
        <s v="Halo Wars"/>
        <s v="Gears of War 2"/>
        <s v="Fallout 3"/>
        <s v="Mass Effect"/>
        <s v="Assassin's Creed"/>
        <s v="Crysis"/>
        <s v="Bioshock"/>
        <s v="S.T.A.L.K.E.R.: Shadow of Chernobyl"/>
        <s v="Crackdown"/>
        <s v="Gears of War"/>
        <s v="Half-Life 2"/>
        <s v="Far Cry"/>
        <s v="Beyond Good &amp; Evil"/>
        <s v="Mafia: The City of Lost Heaven"/>
        <s v="Return to Castle Wolfenstein"/>
        <s v="Banjo-Kazooie"/>
        <n v="0" u="1"/>
      </sharedItems>
    </cacheField>
    <cacheField name="Typ" numFmtId="0">
      <sharedItems containsMixedTypes="1" containsNumber="1" containsInteger="1" minValue="0" maxValue="0" count="3">
        <s v="Hra"/>
        <s v="Rozšíření"/>
        <n v="0" u="1"/>
      </sharedItems>
    </cacheField>
    <cacheField name="Vývojář" numFmtId="0">
      <sharedItems count="97">
        <s v="Bandai Namco Studios"/>
        <s v="Rockstar Studios"/>
        <s v="CD Project RED"/>
        <s v="Ubisoft Quebec"/>
        <s v="Playground Games"/>
        <s v="Eidos-Montréal"/>
        <s v="Insomniac Games"/>
        <s v="Ghost Town Games"/>
        <s v="Arkane Studios"/>
        <s v="Dontnod Entertainment"/>
        <s v="Quantic Dream"/>
        <s v="Ubisoft Montreal"/>
        <s v="Amanita Design"/>
        <s v="11 bit studios"/>
        <s v="SIE Santa Monica Studio"/>
        <s v="Compulsion Games"/>
        <s v="Obsidian Entertainment"/>
        <s v="Warhorse Studios"/>
        <s v="Nintendo "/>
        <s v="Machine Games"/>
        <s v="Tango Gameworks"/>
        <s v="Monolith Productions"/>
        <s v="Turn 10 Studios"/>
        <s v="Studio MDHR"/>
        <s v="Ovosonico"/>
        <s v="Naughty Dog"/>
        <s v="Bloober Team"/>
        <s v="Ninja Theory"/>
        <s v="Red Hook Studios"/>
        <s v="Deck13"/>
        <s v="Terrible Toybox"/>
        <s v="PlatinumGames"/>
        <s v="Nintendo EPD"/>
        <s v="Tarsier Studios"/>
        <s v="Giant Sparrow"/>
        <s v="Atlus"/>
        <s v="Team Cherry"/>
        <s v="Capcom Game Studio Vancouver"/>
        <s v="Square Enix Business Division 2"/>
        <s v="Warm Lamp Games"/>
        <s v="The Coalition"/>
        <s v="Comcept"/>
        <s v="PlayDead"/>
        <s v="Bethesda Game Studios"/>
        <s v="Moon Studios"/>
        <s v="Stoic"/>
        <s v="Remedy Entertainment"/>
        <s v="ConcernedApe"/>
        <s v="Sega"/>
        <s v="Night School Studio"/>
        <s v="Crystal Dynamics"/>
        <s v="Noio"/>
        <s v="Avalanche Studios"/>
        <s v="From Software"/>
        <s v="Dennaton Games"/>
        <s v="Ready at Dawn"/>
        <s v="Techland"/>
        <s v="Telltale Games"/>
        <s v="Ubisoft Sofia"/>
        <s v="The Creative Assembly"/>
        <s v="Access Games"/>
        <s v="Ubisoft Montpellier"/>
        <s v="Irrational Games"/>
        <s v="Free Lives"/>
        <s v="Crytek"/>
        <s v="Guerrilla Games"/>
        <s v="Rockstar North"/>
        <s v="Red Barrels"/>
        <s v="Lucas Pope"/>
        <s v="Undead Labs"/>
        <s v="Suspicious Developments"/>
        <s v="Facepalm Games"/>
        <s v="4A Games"/>
        <s v="United Front Games"/>
        <s v="Iron Galaxy Studios"/>
        <s v="Vigil Games"/>
        <s v="Yager Development"/>
        <s v="Epic Games"/>
        <s v="Edmund McMillen;Florian Himsl"/>
        <s v="FromSoftware"/>
        <s v="Eidos Montreal"/>
        <s v="Rockstar Games"/>
        <s v="Nintendo"/>
        <s v="Crytek Frankfurt"/>
        <s v="Valve Corporation"/>
        <s v="2K Czech"/>
        <s v="Rockstar San Diego"/>
        <s v="BioWare"/>
        <s v="Turtle Rock Studios"/>
        <s v="PopCap Games"/>
        <s v="Ensemble Studios"/>
        <s v="GSC Game World"/>
        <s v="Realtime Worlds"/>
        <s v="Ubisoft"/>
        <s v="Illusion Softworks"/>
        <s v="Gray Matter Interactive"/>
        <s v="Rare"/>
      </sharedItems>
    </cacheField>
    <cacheField name="Vydavatel" numFmtId="0">
      <sharedItems count="54">
        <s v="Nintendo "/>
        <s v="Rockstar Studios"/>
        <s v="CD Project RED"/>
        <s v="Ubisoft"/>
        <s v="Microsoft Studios"/>
        <s v="Square Enix"/>
        <s v="Sony Interactive Entertainment"/>
        <s v="Team17"/>
        <s v="Bethesda Softworks"/>
        <s v="Focus Home Interactive"/>
        <s v="Sony Computer Entertainment"/>
        <s v="Amanita Design"/>
        <s v="11 bit studios"/>
        <s v="Gearbox Publishing"/>
        <s v="Versus Evil"/>
        <s v="Warhorse Studios"/>
        <s v="Warner Bros. Interactive Entertainment"/>
        <s v="Studio MDHR"/>
        <s v="505 Games"/>
        <s v="Aspyr"/>
        <s v="Ninja Theory"/>
        <s v="Red Hook Studios"/>
        <s v="Terrible Toybox"/>
        <s v="Nintendo"/>
        <s v="BANDAI NAMCO Entertainment"/>
        <s v="Annapurna Pictures"/>
        <s v="Atlus"/>
        <s v="Team Cherry"/>
        <s v="Alawar Entertainment"/>
        <s v="PlayDead"/>
        <s v="Chucklefish"/>
        <s v="Sega"/>
        <s v="Night School Studio"/>
        <s v="Raw Fury"/>
        <s v="Warner Bros. Interactive Entertainment "/>
        <s v="Devolver Digital"/>
        <s v="Telltale Games"/>
        <s v="2K Games"/>
        <s v="Rockstar Games"/>
        <s v="Red Barrels"/>
        <s v="Lucas Pope"/>
        <s v="Suspicious Developments"/>
        <s v="Facepalm Games"/>
        <s v="Deep Silver"/>
        <s v="THQ Nordic"/>
        <s v="Edmund McMillen"/>
        <s v="Namco Bandai Games"/>
        <s v="Electronic Arts"/>
        <s v="Valve Corporation"/>
        <s v="PopCap Games"/>
        <s v="Microsoft Studios;Electronic Arts"/>
        <s v="THQ"/>
        <s v="Gathering of Developers"/>
        <s v="Activision"/>
      </sharedItems>
    </cacheField>
    <cacheField name="Datum vydání" numFmtId="14">
      <sharedItems containsSemiMixedTypes="0" containsNonDate="0" containsDate="1" containsString="0" minDate="1998-06-30T00:00:00" maxDate="2018-12-08T00:00:00" count="148">
        <d v="2018-12-07T00:00:00"/>
        <d v="2018-10-26T00:00:00"/>
        <d v="2018-10-23T00:00:00"/>
        <d v="2018-10-05T00:00:00"/>
        <d v="2018-10-02T00:00:00"/>
        <d v="2018-09-14T00:00:00"/>
        <d v="2018-09-07T00:00:00"/>
        <d v="2018-08-07T00:00:00"/>
        <d v="2018-06-10T00:00:00"/>
        <d v="2018-06-05T00:00:00"/>
        <d v="2018-05-25T00:00:00"/>
        <d v="2018-04-27T00:00:00"/>
        <d v="2018-04-07T00:00:00"/>
        <d v="2018-03-24T00:00:00"/>
        <d v="2018-03-20T00:00:00"/>
        <d v="2018-03-13T00:00:00"/>
        <d v="2018-03-03T00:00:00"/>
        <d v="2018-02-13T00:00:00"/>
        <d v="2017-10-27T00:00:00"/>
        <d v="2017-10-13T00:00:00"/>
        <d v="2017-10-10T00:00:00"/>
        <d v="2017-10-03T00:00:00"/>
        <d v="2017-09-29T00:00:00"/>
        <d v="2017-09-15T00:00:00"/>
        <d v="2017-08-31T00:00:00"/>
        <d v="2017-08-22T00:00:00"/>
        <d v="2017-08-15T00:00:00"/>
        <d v="2017-08-08T00:00:00"/>
        <d v="2017-06-19T00:00:00"/>
        <d v="2017-05-15T00:00:00"/>
        <d v="2017-04-30T00:00:00"/>
        <d v="2017-04-07T00:00:00"/>
        <d v="2017-04-05T00:00:00"/>
        <d v="2017-04-03T00:00:00"/>
        <d v="2017-03-28T00:00:00"/>
        <d v="2017-03-25T00:00:00"/>
        <d v="2017-03-04T00:00:00"/>
        <d v="2017-02-24T00:00:00"/>
        <d v="2016-12-13T00:00:00"/>
        <d v="2016-12-06T00:00:00"/>
        <d v="2016-11-29T00:00:00"/>
        <d v="2016-11-15T00:00:00"/>
        <d v="2016-11-11T00:00:00"/>
        <d v="2016-11-09T00:00:00"/>
        <d v="2016-10-11T00:00:00"/>
        <d v="2016-09-27T00:00:00"/>
        <d v="2016-09-13T00:00:00"/>
        <d v="2016-06-29T00:00:00"/>
        <d v="2016-05-19T00:00:00"/>
        <d v="2016-04-30T00:00:00"/>
        <d v="2016-04-11T00:00:00"/>
        <d v="2016-03-26T00:00:00"/>
        <d v="2016-03-19T00:00:00"/>
        <d v="2016-03-05T00:00:00"/>
        <d v="2016-02-26T00:00:00"/>
        <d v="2016-01-21T00:00:00"/>
        <d v="2016-01-14T00:00:00"/>
        <d v="2015-11-19T00:00:00"/>
        <d v="2015-11-10T00:00:00"/>
        <d v="2015-10-21T00:00:00"/>
        <d v="2015-10-13T00:00:00"/>
        <d v="2015-09-15T00:00:00"/>
        <d v="2015-09-01T00:00:00"/>
        <d v="2015-05-19T00:00:00"/>
        <d v="2015-05-05T00:00:00"/>
        <d v="2015-04-24T00:00:00"/>
        <d v="2015-04-10T00:00:00"/>
        <d v="2015-02-20T00:00:00"/>
        <d v="2015-02-03T00:00:00"/>
        <d v="2015-01-30T00:00:00"/>
        <d v="2015-01-27T00:00:00"/>
        <d v="2014-11-25T00:00:00"/>
        <d v="2014-11-18T00:00:00"/>
        <d v="2014-11-14T00:00:00"/>
        <d v="2014-11-13T00:00:00"/>
        <d v="2014-10-28T00:00:00"/>
        <d v="2014-10-14T00:00:00"/>
        <d v="2014-10-07T00:00:00"/>
        <d v="2014-10-03T00:00:00"/>
        <d v="2014-09-30T00:00:00"/>
        <d v="2014-09-18T00:00:00"/>
        <d v="2014-06-25T00:00:00"/>
        <d v="2014-05-20T00:00:00"/>
        <d v="2014-04-25T00:00:00"/>
        <d v="2014-03-07T00:00:00"/>
        <d v="2013-11-22T00:00:00"/>
        <d v="2013-11-15T00:00:00"/>
        <d v="2013-11-12T00:00:00"/>
        <d v="2013-10-29T00:00:00"/>
        <d v="2013-10-11T00:00:00"/>
        <d v="2013-09-17T00:00:00"/>
        <d v="2013-09-04T00:00:00"/>
        <d v="2013-08-13T00:00:00"/>
        <d v="2013-08-08T00:00:00"/>
        <d v="2013-06-05T00:00:00"/>
        <d v="2013-06-03T00:00:00"/>
        <d v="2013-05-30T00:00:00"/>
        <d v="2013-05-14T00:00:00"/>
        <d v="2013-05-07T00:00:00"/>
        <d v="2013-04-25T00:00:00"/>
        <d v="2013-04-16T00:00:00"/>
        <d v="2013-04-12T00:00:00"/>
        <d v="2013-04-05T00:00:00"/>
        <d v="2012-12-18T00:00:00"/>
        <d v="2012-11-29T00:00:00"/>
        <d v="2012-10-23T00:00:00"/>
        <d v="2012-10-22T00:00:00"/>
        <d v="2012-10-12T00:00:00"/>
        <d v="2012-09-21T00:00:00"/>
        <d v="2012-08-17T00:00:00"/>
        <d v="2012-08-14T00:00:00"/>
        <d v="2012-06-29T00:00:00"/>
        <d v="2011-12-13T00:00:00"/>
        <d v="2011-11-15T00:00:00"/>
        <d v="2011-11-11T00:00:00"/>
        <d v="2011-09-28T00:00:00"/>
        <d v="2011-09-22T00:00:00"/>
        <d v="2011-09-08T00:00:00"/>
        <d v="2011-07-07T00:00:00"/>
        <d v="2011-06-16T00:00:00"/>
        <d v="2011-05-17T00:00:00"/>
        <d v="2011-04-25T00:00:00"/>
        <d v="2011-03-19T00:00:00"/>
        <d v="2010-08-24T00:00:00"/>
        <d v="2010-06-14T00:00:00"/>
        <d v="2010-05-18T00:00:00"/>
        <d v="2010-01-26T00:00:00"/>
        <d v="2010-01-05T00:00:00"/>
        <d v="2009-11-20T00:00:00"/>
        <d v="2009-11-17T00:00:00"/>
        <d v="2009-07-28T00:00:00"/>
        <d v="2009-05-05T00:00:00"/>
        <d v="2009-04-03T00:00:00"/>
        <d v="2008-11-07T00:00:00"/>
        <d v="2008-09-28T00:00:00"/>
        <d v="2007-11-20T00:00:00"/>
        <d v="2007-11-14T00:00:00"/>
        <d v="2007-11-13T00:00:00"/>
        <d v="2007-08-21T00:00:00"/>
        <d v="2007-04-20T00:00:00"/>
        <d v="2007-02-10T00:00:00"/>
        <d v="2006-11-07T00:00:00"/>
        <d v="2004-11-16T00:00:00"/>
        <d v="2004-04-23T00:00:00"/>
        <d v="2003-11-14T00:00:00"/>
        <d v="2002-08-28T00:00:00"/>
        <d v="2001-11-19T00:00:00"/>
        <d v="1998-06-30T00:00:00"/>
      </sharedItems>
      <fieldGroup par="19" base="4">
        <rangePr groupBy="months" startDate="1998-06-30T00:00:00" endDate="2018-12-08T00:00:00"/>
        <groupItems count="14">
          <s v="&lt;30.06.1998"/>
          <s v="I"/>
          <s v="II"/>
          <s v="III"/>
          <s v="IV"/>
          <s v="V"/>
          <s v="VI"/>
          <s v="VII"/>
          <s v="VIII"/>
          <s v="IX"/>
          <s v="X"/>
          <s v="XI"/>
          <s v="XII"/>
          <s v="&gt;08.12.2018"/>
        </groupItems>
      </fieldGroup>
    </cacheField>
    <cacheField name="Žánry" numFmtId="0">
      <sharedItems/>
    </cacheField>
    <cacheField name="Platformy" numFmtId="0">
      <sharedItems/>
    </cacheField>
    <cacheField name="Průměrná doba dohrání" numFmtId="165">
      <sharedItems containsSemiMixedTypes="0" containsString="0" containsNumber="1" minValue="0.5" maxValue="97"/>
    </cacheField>
    <cacheField name="Hodnocení ESRB" numFmtId="0">
      <sharedItems count="5">
        <s v="E 10+"/>
        <s v="M"/>
        <s v="T"/>
        <s v="E"/>
        <s v="-"/>
      </sharedItems>
    </cacheField>
    <cacheField name="Hodnocení uživatelů (PC)" numFmtId="0">
      <sharedItems containsMixedTypes="1" containsNumber="1" containsInteger="1" minValue="49" maxValue="99"/>
    </cacheField>
    <cacheField name="Hodnocení uživatelů (X1)" numFmtId="0">
      <sharedItems containsMixedTypes="1" containsNumber="1" minValue="0.88" maxValue="98"/>
    </cacheField>
    <cacheField name="Hodnocení uživatelů (PS4)" numFmtId="164">
      <sharedItems containsMixedTypes="1" containsNumber="1" containsInteger="1" minValue="70" maxValue="100"/>
    </cacheField>
    <cacheField name="Počet uživatelů (PC)" numFmtId="3">
      <sharedItems containsMixedTypes="1" containsNumber="1" containsInteger="1" minValue="32" maxValue="379093"/>
    </cacheField>
    <cacheField name="Počet uživatelů (X1)" numFmtId="3">
      <sharedItems containsMixedTypes="1" containsNumber="1" containsInteger="1" minValue="4" maxValue="40000"/>
    </cacheField>
    <cacheField name="Počet uživatelů (PS4)" numFmtId="3">
      <sharedItems containsMixedTypes="1" containsNumber="1" containsInteger="1" minValue="42" maxValue="114958"/>
    </cacheField>
    <cacheField name="Počet prodaných kusů (PC)" numFmtId="3">
      <sharedItems containsMixedTypes="1" containsNumber="1" containsInteger="1" minValue="153" maxValue="1993"/>
    </cacheField>
    <cacheField name="Počet prodaných kusů (X1)" numFmtId="3">
      <sharedItems containsMixedTypes="1" containsNumber="1" containsInteger="1" minValue="75" maxValue="1989"/>
    </cacheField>
    <cacheField name="Počet prodaných kusů (PS4)" numFmtId="3">
      <sharedItems containsMixedTypes="1" containsNumber="1" containsInteger="1" minValue="20" maxValue="1989"/>
    </cacheField>
    <cacheField name="Čtvrtletí" numFmtId="0" databaseField="0">
      <fieldGroup base="4">
        <rangePr groupBy="quarters" startDate="1998-06-30T00:00:00" endDate="2018-12-08T00:00:00"/>
        <groupItems count="6">
          <s v="&lt;30.06.1998"/>
          <s v="Čtv1"/>
          <s v="Čtv2"/>
          <s v="Čtv3"/>
          <s v="Čtv4"/>
          <s v="&gt;08.12.2018"/>
        </groupItems>
      </fieldGroup>
    </cacheField>
    <cacheField name="Roky" numFmtId="0" databaseField="0">
      <fieldGroup base="4">
        <rangePr groupBy="years" startDate="1998-06-30T00:00:00" endDate="2018-12-08T00:00:00"/>
        <groupItems count="23">
          <s v="&lt;30.06.1998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8.12.2018"/>
        </groupItems>
      </fieldGroup>
    </cacheField>
  </cacheFields>
  <extLst>
    <ext xmlns:x14="http://schemas.microsoft.com/office/spreadsheetml/2009/9/main" uri="{725AE2AE-9491-48be-B2B4-4EB974FC3084}">
      <x14:pivotCacheDefinition pivotCacheId="184773291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 Moudrý" refreshedDate="43483.805175810186" createdVersion="6" refreshedVersion="6" minRefreshableVersion="3" recordCount="153" xr:uid="{9BE49863-47EC-474C-AD6D-C2C0F211FCC5}">
  <cacheSource type="worksheet">
    <worksheetSource ref="A13:R167" sheet="Data"/>
  </cacheSource>
  <cacheFields count="20">
    <cacheField name="Název" numFmtId="0">
      <sharedItems containsMixedTypes="1" containsNumber="1" containsInteger="1" minValue="0" maxValue="0" count="154">
        <s v="Super Smash Bros. Ultimate "/>
        <s v="Red Dead Redemption 2"/>
        <s v="Thronebreaker: The Witcher Tales"/>
        <s v="Assassin's Creed: Odyssey"/>
        <s v="Forza Horizon 4"/>
        <s v="Shadow of the Tomb Raider"/>
        <s v="Marvel's Spider-Man"/>
        <s v="Overcooked 2"/>
        <s v="Prey: Mooncrash"/>
        <s v="Vampyr"/>
        <s v="Detroit: Become Human"/>
        <s v="Far Cry 5"/>
        <s v="Chuchel"/>
        <s v="Frostpunk"/>
        <s v="God Of War (2018)"/>
        <s v="We Happy Few"/>
        <s v="Pillars of Eternity II: Deadfire"/>
        <s v="Kingdom Come: Deliverance"/>
        <s v="Super Mario Odyssey "/>
        <s v="Wolfenstein II: The New Colossus"/>
        <s v="Assassin's Creed: Origins"/>
        <s v="The Evil Within 2"/>
        <s v="Middle-Earth: Shadow of War"/>
        <s v="Forza Motorsport 7"/>
        <s v="Cuphead"/>
        <s v="Dishonored: Death of the Outsider"/>
        <s v="Last Day of June"/>
        <s v="Uncharted: The Lost Legacy"/>
        <s v="Observer"/>
        <s v="Hellblade: Senua's Sacrifice"/>
        <s v="Darkest Dungeon: The Crimson Court"/>
        <s v="The Surge"/>
        <s v="Thimbleweed Park"/>
        <s v="Nier: Automata"/>
        <s v="Prey (2017)"/>
        <s v="The Legend of Zelda: Breath of the Wild"/>
        <s v="Little Nightmares"/>
        <s v="What Remains of Edith Finch"/>
        <s v="Persona 5"/>
        <s v="Hollow Knight"/>
        <s v="Forza Horizon 3: Blizzard Mountain"/>
        <s v="Dead Rising 4"/>
        <s v="Final Fantasy XV"/>
        <s v="Watch Dogs 2"/>
        <s v="Dishonored 2"/>
        <s v="Beholder"/>
        <s v="Gears of War 4"/>
        <s v="Forza Horizon 3"/>
        <s v="ReCore"/>
        <s v="Inside"/>
        <s v="Fallout 4: Far Harbor"/>
        <s v="The Witcher 3: Blood and Wine "/>
        <s v="Ori and the Blind Forest: Definitive Edition"/>
        <s v="Uncharted 4: A Thief's End"/>
        <s v="The Banner Saga 2"/>
        <s v="Quantum Break"/>
        <s v="Stardew Valley"/>
        <s v="Yakuza Kiwami"/>
        <s v="Oxenfree"/>
        <s v="Assassin's Creed: Syndicate"/>
        <s v="Fallout 4"/>
        <s v="Rise of the Tomb Raider"/>
        <s v="Kingdom: Classic"/>
        <s v="The Witcher 3: Hearts of Stone"/>
        <s v="Forza Motorsport 6"/>
        <s v="Mad Max (2015)"/>
        <s v="The Witcher 3"/>
        <s v="Wolfenstein: The Old Blood"/>
        <s v="Bloodborne"/>
        <s v="Hotline Miami 2: Wrong Number"/>
        <s v="The Order: 1886"/>
        <s v="Darkest Dungeon"/>
        <s v="Life Is Strange"/>
        <s v="Dying Light"/>
        <s v="Tales from the Borderlands"/>
        <s v="Far Cry 4"/>
        <s v="This War of Mine"/>
        <s v="Assassin’s Creed: Rogue"/>
        <s v="Assassin's Creed: Unity"/>
        <s v="Sunset Overdrive"/>
        <s v="The Evil Within"/>
        <s v="Alien: Isolation"/>
        <s v="Forza Horizon 2"/>
        <s v="Middle-Earth: Shadow of Mordor"/>
        <s v="D4: Dark Dreams Don't Die"/>
        <s v="Valiant Hearts: The Great War"/>
        <s v="Wolfenstein: The New Order"/>
        <s v="BioShock Infinite: Burial at Sea - Episode 2"/>
        <s v="Broforce"/>
        <s v="Ryse: Son of Rome"/>
        <s v="Killzone: Shadow Fall"/>
        <s v="BioShock Infinite: Burial at Sea - Episode 1"/>
        <s v="Assassin's Creed IV: Black Flag"/>
        <s v="The Wolf Among Us"/>
        <s v="Grand Theft Auto V"/>
        <s v="Outlast"/>
        <s v="Dishonored: The Brigmore Witches"/>
        <s v="Papers, Please"/>
        <s v="State of Decay"/>
        <s v="Gunpoint"/>
        <s v="The Swapper"/>
        <s v="Metro: Last Light"/>
        <s v="The Last of Us"/>
        <s v="Bioshock Infinite"/>
        <s v="Dishonored: The Knife of Dunwall"/>
        <s v="Sleeping Dogs: The Year of the Snake"/>
        <s v="Tomb Raider (2013)"/>
        <s v="Forza Horizon: Rally"/>
        <s v="Far Cry 3"/>
        <s v="Forza Horizon"/>
        <s v="Fallout: New Vegas"/>
        <s v="Dishonored"/>
        <s v="Borderlands 2"/>
        <s v="Sleeping Dogs"/>
        <s v="Darksiders 2"/>
        <s v="Spec Ops: The Line"/>
        <s v="Gears of War 3: RAAM's Shadow"/>
        <s v="Assassin's Creed: Revelations"/>
        <s v="The Elder Scrolls V: Skyrim"/>
        <s v="The Binding of Isaac"/>
        <s v="Dark Souls"/>
        <s v="Gears of War 3"/>
        <s v="Deus Ex: Human Revolution"/>
        <s v="L.A. Noire"/>
        <s v="The Legend of Zelda: Ocarina of Time "/>
        <s v="The Witcher 2: Assassins of Kings"/>
        <s v="Crysis 2"/>
        <s v="Portal 2"/>
        <s v="Mafia II"/>
        <s v="Metro 2033"/>
        <s v="Red Dead Redemption"/>
        <s v="Mass Effect 2"/>
        <s v="Darksiders"/>
        <s v="Left 4 Dead 2"/>
        <s v="Assassin's Creed II"/>
        <s v="Gears of War 2: Road to Ruin"/>
        <s v="Plants vs. Zombies"/>
        <s v="Halo Wars"/>
        <s v="Gears of War 2"/>
        <s v="Fallout 3"/>
        <s v="Mass Effect"/>
        <s v="Assassin's Creed"/>
        <s v="Crysis"/>
        <s v="Bioshock"/>
        <s v="S.T.A.L.K.E.R.: Shadow of Chernobyl"/>
        <s v="Crackdown"/>
        <s v="Gears of War"/>
        <s v="Half-Life 2"/>
        <s v="Far Cry"/>
        <s v="Beyond Good &amp; Evil"/>
        <s v="Mafia: The City of Lost Heaven"/>
        <s v="Return to Castle Wolfenstein"/>
        <s v="Banjo-Kazooie"/>
        <n v="0" u="1"/>
      </sharedItems>
    </cacheField>
    <cacheField name="Typ" numFmtId="0">
      <sharedItems containsMixedTypes="1" containsNumber="1" containsInteger="1" minValue="0" maxValue="0" count="3">
        <s v="Hra"/>
        <s v="Rozšíření"/>
        <n v="0" u="1"/>
      </sharedItems>
    </cacheField>
    <cacheField name="Vývojář" numFmtId="0">
      <sharedItems containsMixedTypes="1" containsNumber="1" containsInteger="1" minValue="0" maxValue="0" count="98">
        <s v="Bandai Namco Studios"/>
        <s v="Rockstar Studios"/>
        <s v="CD Project RED"/>
        <s v="Ubisoft Quebec"/>
        <s v="Playground Games"/>
        <s v="Eidos-Montréal"/>
        <s v="Insomniac Games"/>
        <s v="Ghost Town Games"/>
        <s v="Arkane Studios"/>
        <s v="Dontnod Entertainment"/>
        <s v="Quantic Dream"/>
        <s v="Ubisoft Montreal"/>
        <s v="Amanita Design"/>
        <s v="11 bit studios"/>
        <s v="SIE Santa Monica Studio"/>
        <s v="Compulsion Games"/>
        <s v="Obsidian Entertainment"/>
        <s v="Warhorse Studios"/>
        <s v="Nintendo "/>
        <s v="Machine Games"/>
        <s v="Tango Gameworks"/>
        <s v="Monolith Productions"/>
        <s v="Turn 10 Studios"/>
        <s v="Studio MDHR"/>
        <s v="Ovosonico"/>
        <s v="Naughty Dog"/>
        <s v="Bloober Team"/>
        <s v="Ninja Theory"/>
        <s v="Red Hook Studios"/>
        <s v="Deck13"/>
        <s v="Terrible Toybox"/>
        <s v="PlatinumGames"/>
        <s v="Nintendo EPD"/>
        <s v="Tarsier Studios"/>
        <s v="Giant Sparrow"/>
        <s v="Atlus"/>
        <s v="Team Cherry"/>
        <s v="Capcom Game Studio Vancouver"/>
        <s v="Square Enix Business Division 2"/>
        <s v="Warm Lamp Games"/>
        <s v="The Coalition"/>
        <s v="Comcept"/>
        <s v="PlayDead"/>
        <s v="Bethesda Game Studios"/>
        <s v="Moon Studios"/>
        <s v="Stoic"/>
        <s v="Remedy Entertainment"/>
        <s v="ConcernedApe"/>
        <s v="Sega"/>
        <s v="Night School Studio"/>
        <s v="Crystal Dynamics"/>
        <s v="Noio"/>
        <s v="Avalanche Studios"/>
        <s v="From Software"/>
        <s v="Dennaton Games"/>
        <s v="Ready at Dawn"/>
        <s v="Techland"/>
        <s v="Telltale Games"/>
        <s v="Ubisoft Sofia"/>
        <s v="The Creative Assembly"/>
        <s v="Access Games"/>
        <s v="Ubisoft Montpellier"/>
        <s v="Irrational Games"/>
        <s v="Free Lives"/>
        <s v="Crytek"/>
        <s v="Guerrilla Games"/>
        <s v="Rockstar North"/>
        <s v="Red Barrels"/>
        <s v="Lucas Pope"/>
        <s v="Undead Labs"/>
        <s v="Suspicious Developments"/>
        <s v="Facepalm Games"/>
        <s v="4A Games"/>
        <s v="United Front Games"/>
        <s v="Iron Galaxy Studios"/>
        <s v="Vigil Games"/>
        <s v="Yager Development"/>
        <s v="Epic Games"/>
        <s v="Edmund McMillen;Florian Himsl"/>
        <s v="FromSoftware"/>
        <s v="Eidos Montreal"/>
        <s v="Rockstar Games"/>
        <s v="Nintendo"/>
        <s v="Crytek Frankfurt"/>
        <s v="Valve Corporation"/>
        <s v="2K Czech"/>
        <s v="Rockstar San Diego"/>
        <s v="BioWare"/>
        <s v="Turtle Rock Studios"/>
        <s v="PopCap Games"/>
        <s v="Ensemble Studios"/>
        <s v="GSC Game World"/>
        <s v="Realtime Worlds"/>
        <s v="Ubisoft"/>
        <s v="Illusion Softworks"/>
        <s v="Gray Matter Interactive"/>
        <s v="Rare"/>
        <n v="0" u="1"/>
      </sharedItems>
    </cacheField>
    <cacheField name="Vydavatel" numFmtId="0">
      <sharedItems containsMixedTypes="1" containsNumber="1" containsInteger="1" minValue="0" maxValue="0" count="55">
        <s v="Nintendo "/>
        <s v="Rockstar Studios"/>
        <s v="CD Project RED"/>
        <s v="Ubisoft"/>
        <s v="Microsoft Studios"/>
        <s v="Square Enix"/>
        <s v="Sony Interactive Entertainment"/>
        <s v="Team17"/>
        <s v="Bethesda Softworks"/>
        <s v="Focus Home Interactive"/>
        <s v="Sony Computer Entertainment"/>
        <s v="Amanita Design"/>
        <s v="11 bit studios"/>
        <s v="Gearbox Publishing"/>
        <s v="Versus Evil"/>
        <s v="Warhorse Studios"/>
        <s v="Warner Bros. Interactive Entertainment"/>
        <s v="Studio MDHR"/>
        <s v="505 Games"/>
        <s v="Aspyr"/>
        <s v="Ninja Theory"/>
        <s v="Red Hook Studios"/>
        <s v="Terrible Toybox"/>
        <s v="Nintendo"/>
        <s v="BANDAI NAMCO Entertainment"/>
        <s v="Annapurna Pictures"/>
        <s v="Atlus"/>
        <s v="Team Cherry"/>
        <s v="Alawar Entertainment"/>
        <s v="PlayDead"/>
        <s v="Chucklefish"/>
        <s v="Sega"/>
        <s v="Night School Studio"/>
        <s v="Raw Fury"/>
        <s v="Warner Bros. Interactive Entertainment "/>
        <s v="Devolver Digital"/>
        <s v="Telltale Games"/>
        <s v="2K Games"/>
        <s v="Rockstar Games"/>
        <s v="Red Barrels"/>
        <s v="Lucas Pope"/>
        <s v="Suspicious Developments"/>
        <s v="Facepalm Games"/>
        <s v="Deep Silver"/>
        <s v="THQ Nordic"/>
        <s v="Edmund McMillen"/>
        <s v="Namco Bandai Games"/>
        <s v="Electronic Arts"/>
        <s v="Valve Corporation"/>
        <s v="PopCap Games"/>
        <s v="Microsoft Studios;Electronic Arts"/>
        <s v="THQ"/>
        <s v="Gathering of Developers"/>
        <s v="Activision"/>
        <n v="0" u="1"/>
      </sharedItems>
    </cacheField>
    <cacheField name="Datum vydání" numFmtId="14">
      <sharedItems containsSemiMixedTypes="0" containsNonDate="0" containsDate="1" containsString="0" minDate="1998-06-30T00:00:00" maxDate="2018-12-08T00:00:00" count="148">
        <d v="2018-12-07T00:00:00"/>
        <d v="2018-10-26T00:00:00"/>
        <d v="2018-10-23T00:00:00"/>
        <d v="2018-10-05T00:00:00"/>
        <d v="2018-10-02T00:00:00"/>
        <d v="2018-09-14T00:00:00"/>
        <d v="2018-09-07T00:00:00"/>
        <d v="2018-08-07T00:00:00"/>
        <d v="2018-06-10T00:00:00"/>
        <d v="2018-06-05T00:00:00"/>
        <d v="2018-05-25T00:00:00"/>
        <d v="2018-04-27T00:00:00"/>
        <d v="2018-04-07T00:00:00"/>
        <d v="2018-03-24T00:00:00"/>
        <d v="2018-03-20T00:00:00"/>
        <d v="2018-03-13T00:00:00"/>
        <d v="2018-03-03T00:00:00"/>
        <d v="2018-02-13T00:00:00"/>
        <d v="2017-10-27T00:00:00"/>
        <d v="2017-10-13T00:00:00"/>
        <d v="2017-10-10T00:00:00"/>
        <d v="2017-10-03T00:00:00"/>
        <d v="2017-09-29T00:00:00"/>
        <d v="2017-09-15T00:00:00"/>
        <d v="2017-08-31T00:00:00"/>
        <d v="2017-08-22T00:00:00"/>
        <d v="2017-08-15T00:00:00"/>
        <d v="2017-08-08T00:00:00"/>
        <d v="2017-06-19T00:00:00"/>
        <d v="2017-05-15T00:00:00"/>
        <d v="2017-04-30T00:00:00"/>
        <d v="2017-04-07T00:00:00"/>
        <d v="2017-04-05T00:00:00"/>
        <d v="2017-04-03T00:00:00"/>
        <d v="2017-03-28T00:00:00"/>
        <d v="2017-03-25T00:00:00"/>
        <d v="2017-03-04T00:00:00"/>
        <d v="2017-02-24T00:00:00"/>
        <d v="2016-12-13T00:00:00"/>
        <d v="2016-12-06T00:00:00"/>
        <d v="2016-11-29T00:00:00"/>
        <d v="2016-11-15T00:00:00"/>
        <d v="2016-11-11T00:00:00"/>
        <d v="2016-11-09T00:00:00"/>
        <d v="2016-10-11T00:00:00"/>
        <d v="2016-09-27T00:00:00"/>
        <d v="2016-09-13T00:00:00"/>
        <d v="2016-06-29T00:00:00"/>
        <d v="2016-05-19T00:00:00"/>
        <d v="2016-04-30T00:00:00"/>
        <d v="2016-04-11T00:00:00"/>
        <d v="2016-03-26T00:00:00"/>
        <d v="2016-03-19T00:00:00"/>
        <d v="2016-03-05T00:00:00"/>
        <d v="2016-02-26T00:00:00"/>
        <d v="2016-01-21T00:00:00"/>
        <d v="2016-01-14T00:00:00"/>
        <d v="2015-11-19T00:00:00"/>
        <d v="2015-11-10T00:00:00"/>
        <d v="2015-10-21T00:00:00"/>
        <d v="2015-10-13T00:00:00"/>
        <d v="2015-09-15T00:00:00"/>
        <d v="2015-09-01T00:00:00"/>
        <d v="2015-05-19T00:00:00"/>
        <d v="2015-05-05T00:00:00"/>
        <d v="2015-04-24T00:00:00"/>
        <d v="2015-04-10T00:00:00"/>
        <d v="2015-02-20T00:00:00"/>
        <d v="2015-02-03T00:00:00"/>
        <d v="2015-01-30T00:00:00"/>
        <d v="2015-01-27T00:00:00"/>
        <d v="2014-11-25T00:00:00"/>
        <d v="2014-11-18T00:00:00"/>
        <d v="2014-11-14T00:00:00"/>
        <d v="2014-11-13T00:00:00"/>
        <d v="2014-10-28T00:00:00"/>
        <d v="2014-10-14T00:00:00"/>
        <d v="2014-10-07T00:00:00"/>
        <d v="2014-10-03T00:00:00"/>
        <d v="2014-09-30T00:00:00"/>
        <d v="2014-09-18T00:00:00"/>
        <d v="2014-06-25T00:00:00"/>
        <d v="2014-05-20T00:00:00"/>
        <d v="2014-04-25T00:00:00"/>
        <d v="2014-03-07T00:00:00"/>
        <d v="2013-11-22T00:00:00"/>
        <d v="2013-11-15T00:00:00"/>
        <d v="2013-11-12T00:00:00"/>
        <d v="2013-10-29T00:00:00"/>
        <d v="2013-10-11T00:00:00"/>
        <d v="2013-09-17T00:00:00"/>
        <d v="2013-09-04T00:00:00"/>
        <d v="2013-08-13T00:00:00"/>
        <d v="2013-08-08T00:00:00"/>
        <d v="2013-06-05T00:00:00"/>
        <d v="2013-06-03T00:00:00"/>
        <d v="2013-05-30T00:00:00"/>
        <d v="2013-05-14T00:00:00"/>
        <d v="2013-05-07T00:00:00"/>
        <d v="2013-04-25T00:00:00"/>
        <d v="2013-04-16T00:00:00"/>
        <d v="2013-04-12T00:00:00"/>
        <d v="2013-04-05T00:00:00"/>
        <d v="2012-12-18T00:00:00"/>
        <d v="2012-11-29T00:00:00"/>
        <d v="2012-10-23T00:00:00"/>
        <d v="2012-10-22T00:00:00"/>
        <d v="2012-10-12T00:00:00"/>
        <d v="2012-09-21T00:00:00"/>
        <d v="2012-08-17T00:00:00"/>
        <d v="2012-08-14T00:00:00"/>
        <d v="2012-06-29T00:00:00"/>
        <d v="2011-12-13T00:00:00"/>
        <d v="2011-11-15T00:00:00"/>
        <d v="2011-11-11T00:00:00"/>
        <d v="2011-09-28T00:00:00"/>
        <d v="2011-09-22T00:00:00"/>
        <d v="2011-09-08T00:00:00"/>
        <d v="2011-07-07T00:00:00"/>
        <d v="2011-06-16T00:00:00"/>
        <d v="2011-05-17T00:00:00"/>
        <d v="2011-04-25T00:00:00"/>
        <d v="2011-03-19T00:00:00"/>
        <d v="2010-08-24T00:00:00"/>
        <d v="2010-06-14T00:00:00"/>
        <d v="2010-05-18T00:00:00"/>
        <d v="2010-01-26T00:00:00"/>
        <d v="2010-01-05T00:00:00"/>
        <d v="2009-11-20T00:00:00"/>
        <d v="2009-11-17T00:00:00"/>
        <d v="2009-07-28T00:00:00"/>
        <d v="2009-05-05T00:00:00"/>
        <d v="2009-04-03T00:00:00"/>
        <d v="2008-11-07T00:00:00"/>
        <d v="2008-09-28T00:00:00"/>
        <d v="2007-11-20T00:00:00"/>
        <d v="2007-11-14T00:00:00"/>
        <d v="2007-11-13T00:00:00"/>
        <d v="2007-08-21T00:00:00"/>
        <d v="2007-04-20T00:00:00"/>
        <d v="2007-02-10T00:00:00"/>
        <d v="2006-11-07T00:00:00"/>
        <d v="2004-11-16T00:00:00"/>
        <d v="2004-04-23T00:00:00"/>
        <d v="2003-11-14T00:00:00"/>
        <d v="2002-08-28T00:00:00"/>
        <d v="2001-11-19T00:00:00"/>
        <d v="1998-06-30T00:00:00"/>
      </sharedItems>
      <fieldGroup par="19" base="4">
        <rangePr groupBy="months" startDate="1998-06-30T00:00:00" endDate="2018-12-08T00:00:00"/>
        <groupItems count="14">
          <s v="&lt;30.06.1998"/>
          <s v="I"/>
          <s v="II"/>
          <s v="III"/>
          <s v="IV"/>
          <s v="V"/>
          <s v="VI"/>
          <s v="VII"/>
          <s v="VIII"/>
          <s v="IX"/>
          <s v="X"/>
          <s v="XI"/>
          <s v="XII"/>
          <s v="&gt;08.12.2018"/>
        </groupItems>
      </fieldGroup>
    </cacheField>
    <cacheField name="Žánry" numFmtId="0">
      <sharedItems/>
    </cacheField>
    <cacheField name="Platformy" numFmtId="0">
      <sharedItems/>
    </cacheField>
    <cacheField name="Průměrná doba dohrání" numFmtId="165">
      <sharedItems containsSemiMixedTypes="0" containsString="0" containsNumber="1" minValue="0.5" maxValue="97"/>
    </cacheField>
    <cacheField name="Hodnocení ESRB" numFmtId="0">
      <sharedItems count="6">
        <s v="E 10+"/>
        <s v="M"/>
        <s v="T"/>
        <s v="E"/>
        <s v="-"/>
        <s v="M (17+)" u="1"/>
      </sharedItems>
    </cacheField>
    <cacheField name="Hodnocení uživatelů (PC)" numFmtId="0">
      <sharedItems containsMixedTypes="1" containsNumber="1" containsInteger="1" minValue="49" maxValue="99"/>
    </cacheField>
    <cacheField name="Hodnocení uživatelů (X1)" numFmtId="0">
      <sharedItems containsMixedTypes="1" containsNumber="1" minValue="0.88" maxValue="98"/>
    </cacheField>
    <cacheField name="Hodnocení uživatelů (PS4)" numFmtId="164">
      <sharedItems containsMixedTypes="1" containsNumber="1" containsInteger="1" minValue="70" maxValue="100"/>
    </cacheField>
    <cacheField name="Počet uživatelů (PC)" numFmtId="3">
      <sharedItems containsMixedTypes="1" containsNumber="1" containsInteger="1" minValue="32" maxValue="379093"/>
    </cacheField>
    <cacheField name="Počet uživatelů (X1)" numFmtId="3">
      <sharedItems containsMixedTypes="1" containsNumber="1" containsInteger="1" minValue="4" maxValue="40000"/>
    </cacheField>
    <cacheField name="Počet uživatelů (PS4)" numFmtId="3">
      <sharedItems containsMixedTypes="1" containsNumber="1" containsInteger="1" minValue="42" maxValue="114958"/>
    </cacheField>
    <cacheField name="Počet prodaných kusů (PC)" numFmtId="3">
      <sharedItems containsMixedTypes="1" containsNumber="1" containsInteger="1" minValue="153" maxValue="1993"/>
    </cacheField>
    <cacheField name="Počet prodaných kusů (X1)" numFmtId="3">
      <sharedItems containsMixedTypes="1" containsNumber="1" containsInteger="1" minValue="75" maxValue="1989"/>
    </cacheField>
    <cacheField name="Počet prodaných kusů (PS4)" numFmtId="3">
      <sharedItems containsMixedTypes="1" containsNumber="1" containsInteger="1" minValue="20" maxValue="1989"/>
    </cacheField>
    <cacheField name="Čtvrtletí" numFmtId="0" databaseField="0">
      <fieldGroup base="4">
        <rangePr groupBy="quarters" startDate="1998-06-30T00:00:00" endDate="2018-12-08T00:00:00"/>
        <groupItems count="6">
          <s v="&lt;30.06.1998"/>
          <s v="Čtv1"/>
          <s v="Čtv2"/>
          <s v="Čtv3"/>
          <s v="Čtv4"/>
          <s v="&gt;08.12.2018"/>
        </groupItems>
      </fieldGroup>
    </cacheField>
    <cacheField name="Roky" numFmtId="0" databaseField="0">
      <fieldGroup base="4">
        <rangePr groupBy="years" startDate="1998-06-30T00:00:00" endDate="2018-12-08T00:00:00"/>
        <groupItems count="23">
          <s v="&lt;30.06.1998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8.12.2018"/>
        </groupItems>
      </fieldGroup>
    </cacheField>
  </cacheFields>
  <extLst>
    <ext xmlns:x14="http://schemas.microsoft.com/office/spreadsheetml/2009/9/main" uri="{725AE2AE-9491-48be-B2B4-4EB974FC3084}">
      <x14:pivotCacheDefinition pivotCacheId="6004730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x v="0"/>
    <x v="0"/>
    <x v="0"/>
    <x v="0"/>
    <s v="Akční"/>
    <s v="Nintendo Switch"/>
    <n v="31.5"/>
    <x v="0"/>
    <s v="-"/>
    <s v="-"/>
    <s v="-"/>
    <s v="-"/>
    <s v="-"/>
    <s v="-"/>
    <s v="-"/>
    <s v="-"/>
    <s v="-"/>
  </r>
  <r>
    <x v="1"/>
    <x v="0"/>
    <x v="1"/>
    <x v="1"/>
    <x v="1"/>
    <s v="Akční;Adventura;FPS;Otevřený svět"/>
    <s v="Xbox One;Playstation 4"/>
    <n v="41.1"/>
    <x v="1"/>
    <s v="-"/>
    <n v="86"/>
    <n v="88"/>
    <s v="-"/>
    <n v="666"/>
    <n v="4814"/>
    <s v="-"/>
    <n v="1356"/>
    <n v="1189"/>
  </r>
  <r>
    <x v="2"/>
    <x v="0"/>
    <x v="2"/>
    <x v="2"/>
    <x v="2"/>
    <s v="RPG"/>
    <s v="PC"/>
    <n v="30"/>
    <x v="2"/>
    <n v="91"/>
    <s v="-"/>
    <s v="-"/>
    <n v="1405"/>
    <s v="-"/>
    <s v="-"/>
    <n v="1310"/>
    <s v="-"/>
    <s v="-"/>
  </r>
  <r>
    <x v="3"/>
    <x v="0"/>
    <x v="3"/>
    <x v="3"/>
    <x v="3"/>
    <s v="Akční;Adventura;Otevřený svět"/>
    <s v="PC;Xbox One;Playstation 4"/>
    <n v="34"/>
    <x v="1"/>
    <n v="85"/>
    <n v="88"/>
    <n v="90"/>
    <n v="12209"/>
    <n v="289"/>
    <n v="936"/>
    <n v="387"/>
    <n v="499"/>
    <n v="352"/>
  </r>
  <r>
    <x v="4"/>
    <x v="0"/>
    <x v="4"/>
    <x v="4"/>
    <x v="4"/>
    <s v="Závodní;Otevřený svět"/>
    <s v="PC;Xbox One"/>
    <n v="8.5"/>
    <x v="3"/>
    <n v="96"/>
    <n v="96"/>
    <s v="-"/>
    <n v="40000"/>
    <n v="40000"/>
    <s v="-"/>
    <n v="1190"/>
    <n v="948"/>
    <s v="-"/>
  </r>
  <r>
    <x v="5"/>
    <x v="0"/>
    <x v="5"/>
    <x v="5"/>
    <x v="5"/>
    <s v="Akční;Adventura"/>
    <s v="PC;Xbox One;Playstation 4;Xbox 360"/>
    <n v="13"/>
    <x v="1"/>
    <n v="71"/>
    <n v="90"/>
    <n v="88"/>
    <n v="7660"/>
    <n v="230"/>
    <n v="865"/>
    <n v="904"/>
    <n v="917"/>
    <n v="1843"/>
  </r>
  <r>
    <x v="6"/>
    <x v="0"/>
    <x v="6"/>
    <x v="6"/>
    <x v="6"/>
    <s v="Akční;Adventura;Otevřený svět"/>
    <s v="Playstation 4"/>
    <n v="16.5"/>
    <x v="2"/>
    <s v="-"/>
    <s v="-"/>
    <n v="98"/>
    <s v="-"/>
    <s v="-"/>
    <n v="2360"/>
    <s v="-"/>
    <s v="-"/>
    <n v="767"/>
  </r>
  <r>
    <x v="7"/>
    <x v="0"/>
    <x v="7"/>
    <x v="7"/>
    <x v="7"/>
    <s v="Akční"/>
    <s v="PC;Xbox One;Playstation 4;Nintendo Switch"/>
    <n v="5.5"/>
    <x v="3"/>
    <n v="81"/>
    <n v="95"/>
    <n v="90"/>
    <n v="3114"/>
    <n v="104"/>
    <n v="171"/>
    <n v="1382"/>
    <n v="401"/>
    <n v="1906"/>
  </r>
  <r>
    <x v="8"/>
    <x v="1"/>
    <x v="8"/>
    <x v="8"/>
    <x v="8"/>
    <s v="FPS;RPG;Horror"/>
    <s v="PC;Xbox One;Playstation 4"/>
    <n v="12"/>
    <x v="1"/>
    <n v="76"/>
    <n v="86"/>
    <n v="80"/>
    <n v="647"/>
    <n v="40"/>
    <n v="68"/>
    <n v="985"/>
    <n v="635"/>
    <n v="646"/>
  </r>
  <r>
    <x v="9"/>
    <x v="0"/>
    <x v="9"/>
    <x v="9"/>
    <x v="9"/>
    <s v="Akční;RPG"/>
    <s v="PC;Xbox One;Playstation 4"/>
    <n v="16.5"/>
    <x v="1"/>
    <n v="71"/>
    <n v="76"/>
    <n v="80"/>
    <n v="3776"/>
    <n v="217"/>
    <n v="264"/>
    <n v="1092"/>
    <n v="1191"/>
    <n v="667"/>
  </r>
  <r>
    <x v="10"/>
    <x v="0"/>
    <x v="10"/>
    <x v="10"/>
    <x v="10"/>
    <s v="Adventura"/>
    <s v="Playstation 4"/>
    <n v="11.5"/>
    <x v="1"/>
    <s v="-"/>
    <s v="-"/>
    <n v="92"/>
    <s v="-"/>
    <s v="-"/>
    <n v="107"/>
    <s v="-"/>
    <s v="-"/>
    <n v="1546"/>
  </r>
  <r>
    <x v="11"/>
    <x v="0"/>
    <x v="11"/>
    <x v="3"/>
    <x v="11"/>
    <s v="FPS;Otevřený svět;RPG"/>
    <s v="PC;Xbox One;Playstation 4"/>
    <n v="17.5"/>
    <x v="1"/>
    <n v="68"/>
    <n v="68"/>
    <n v="88"/>
    <n v="25031"/>
    <n v="419"/>
    <n v="2136"/>
    <n v="1755"/>
    <n v="480"/>
    <n v="745"/>
  </r>
  <r>
    <x v="12"/>
    <x v="0"/>
    <x v="12"/>
    <x v="11"/>
    <x v="12"/>
    <s v="Adventura"/>
    <s v="PC"/>
    <n v="2"/>
    <x v="4"/>
    <n v="86"/>
    <s v="-"/>
    <s v="-"/>
    <n v="674"/>
    <s v="-"/>
    <s v="-"/>
    <n v="1993"/>
    <s v="-"/>
    <s v="-"/>
  </r>
  <r>
    <x v="13"/>
    <x v="0"/>
    <x v="13"/>
    <x v="12"/>
    <x v="13"/>
    <s v="Strategie;Simulace"/>
    <s v="PC"/>
    <n v="9.5"/>
    <x v="1"/>
    <n v="87"/>
    <s v="-"/>
    <s v="-"/>
    <n v="17775"/>
    <s v="-"/>
    <s v="-"/>
    <n v="378"/>
    <s v="-"/>
    <s v="-"/>
  </r>
  <r>
    <x v="14"/>
    <x v="0"/>
    <x v="14"/>
    <x v="6"/>
    <x v="14"/>
    <s v="Akční;Adventura"/>
    <s v="Playstation 4"/>
    <n v="19.5"/>
    <x v="1"/>
    <s v="-"/>
    <s v="-"/>
    <n v="100"/>
    <s v="-"/>
    <s v="-"/>
    <n v="4079"/>
    <s v="-"/>
    <s v="-"/>
    <n v="697"/>
  </r>
  <r>
    <x v="15"/>
    <x v="0"/>
    <x v="15"/>
    <x v="13"/>
    <x v="15"/>
    <s v="Akční;Horror"/>
    <s v="PC;Xbox One;Playstation 4"/>
    <n v="21"/>
    <x v="1"/>
    <n v="70"/>
    <n v="74"/>
    <n v="70"/>
    <n v="3389"/>
    <n v="468"/>
    <n v="42"/>
    <n v="474"/>
    <n v="617"/>
    <n v="305"/>
  </r>
  <r>
    <x v="16"/>
    <x v="0"/>
    <x v="16"/>
    <x v="14"/>
    <x v="16"/>
    <s v="RTS;RPG"/>
    <s v="PC"/>
    <n v="35"/>
    <x v="1"/>
    <n v="81"/>
    <s v="-"/>
    <s v="-"/>
    <n v="2732"/>
    <s v="-"/>
    <s v="-"/>
    <n v="1946"/>
    <s v="-"/>
    <s v="-"/>
  </r>
  <r>
    <x v="17"/>
    <x v="0"/>
    <x v="17"/>
    <x v="15"/>
    <x v="17"/>
    <s v="Akční;RPG;Otevřený svět"/>
    <s v="PC;Xbox One;Playstation 4"/>
    <n v="39.5"/>
    <x v="1"/>
    <n v="74"/>
    <n v="76"/>
    <n v="80"/>
    <n v="23297"/>
    <n v="429"/>
    <n v="839"/>
    <n v="1334"/>
    <n v="1502"/>
    <n v="471"/>
  </r>
  <r>
    <x v="18"/>
    <x v="0"/>
    <x v="18"/>
    <x v="0"/>
    <x v="18"/>
    <s v="Adventura;Platformer"/>
    <s v="Nintendo Switch"/>
    <n v="26.5"/>
    <x v="0"/>
    <s v="-"/>
    <s v="-"/>
    <s v="-"/>
    <s v="-"/>
    <s v="-"/>
    <s v="-"/>
    <s v="-"/>
    <s v="-"/>
    <s v="-"/>
  </r>
  <r>
    <x v="19"/>
    <x v="0"/>
    <x v="19"/>
    <x v="8"/>
    <x v="18"/>
    <s v="FPS"/>
    <s v="PC;Xbox One;Playstation 4;Nintendo Switch"/>
    <n v="10.5"/>
    <x v="1"/>
    <n v="69"/>
    <n v="76"/>
    <n v="86"/>
    <n v="8581"/>
    <n v="275"/>
    <n v="341"/>
    <n v="1458"/>
    <n v="839"/>
    <n v="543"/>
  </r>
  <r>
    <x v="20"/>
    <x v="0"/>
    <x v="11"/>
    <x v="3"/>
    <x v="18"/>
    <s v="Akční;Adventura;Otevřený svět"/>
    <s v="PC;Xbox One;Playstation 4"/>
    <n v="28"/>
    <x v="1"/>
    <n v="83"/>
    <n v="84"/>
    <n v="88"/>
    <n v="30651"/>
    <n v="451"/>
    <n v="5497"/>
    <n v="1372"/>
    <n v="1082"/>
    <n v="1952"/>
  </r>
  <r>
    <x v="21"/>
    <x v="0"/>
    <x v="20"/>
    <x v="8"/>
    <x v="19"/>
    <s v="Akční;Horror"/>
    <s v="PC;Xbox One;Playstation 4"/>
    <n v="13.5"/>
    <x v="1"/>
    <n v="91"/>
    <n v="94"/>
    <n v="90"/>
    <n v="4716"/>
    <n v="277"/>
    <n v="231"/>
    <n v="1212"/>
    <n v="1797"/>
    <n v="1224"/>
  </r>
  <r>
    <x v="22"/>
    <x v="0"/>
    <x v="21"/>
    <x v="16"/>
    <x v="20"/>
    <s v="Akční;Adventura;RPG"/>
    <s v="PC;Xbox One;Playstation 4"/>
    <n v="20.5"/>
    <x v="1"/>
    <n v="77"/>
    <n v="74"/>
    <n v="88"/>
    <n v="14692"/>
    <n v="675"/>
    <n v="1947"/>
    <n v="744"/>
    <n v="594"/>
    <n v="1538"/>
  </r>
  <r>
    <x v="23"/>
    <x v="0"/>
    <x v="22"/>
    <x v="4"/>
    <x v="21"/>
    <s v="Závodní;Simulace"/>
    <s v="PC;Xbox One"/>
    <n v="30"/>
    <x v="3"/>
    <n v="96"/>
    <n v="96"/>
    <s v="-"/>
    <s v="3 427"/>
    <n v="3228"/>
    <s v="-"/>
    <n v="1214"/>
    <n v="1107"/>
    <s v="-"/>
  </r>
  <r>
    <x v="24"/>
    <x v="0"/>
    <x v="23"/>
    <x v="17"/>
    <x v="22"/>
    <s v="Akční;Platformer"/>
    <s v="PC;Xbox One"/>
    <n v="9"/>
    <x v="0"/>
    <n v="95"/>
    <n v="86"/>
    <s v="-"/>
    <n v="33595"/>
    <n v="788"/>
    <s v="-"/>
    <n v="819"/>
    <n v="1473"/>
    <s v="-"/>
  </r>
  <r>
    <x v="25"/>
    <x v="0"/>
    <x v="8"/>
    <x v="8"/>
    <x v="23"/>
    <s v="Akční;RPG;Stealth"/>
    <s v="PC;Xbox One;Playstation 4"/>
    <n v="6.5"/>
    <x v="1"/>
    <n v="83"/>
    <n v="84"/>
    <n v="88"/>
    <n v="2163"/>
    <n v="96"/>
    <n v="246"/>
    <n v="1437"/>
    <n v="1424"/>
    <n v="1989"/>
  </r>
  <r>
    <x v="26"/>
    <x v="0"/>
    <x v="24"/>
    <x v="18"/>
    <x v="24"/>
    <s v="Adventura"/>
    <s v="PC;Playstation 4;Nintendo Switch"/>
    <n v="3"/>
    <x v="3"/>
    <n v="91"/>
    <s v="-"/>
    <n v="88"/>
    <n v="932"/>
    <s v="-"/>
    <n v="318"/>
    <n v="621"/>
    <s v="-"/>
    <n v="519"/>
  </r>
  <r>
    <x v="27"/>
    <x v="0"/>
    <x v="25"/>
    <x v="6"/>
    <x v="25"/>
    <s v="Akční;Adventura"/>
    <s v="Playstation 4"/>
    <n v="7"/>
    <x v="2"/>
    <s v="-"/>
    <s v="-"/>
    <n v="98"/>
    <s v="-"/>
    <s v="-"/>
    <n v="1673"/>
    <s v="-"/>
    <s v="-"/>
    <n v="1797"/>
  </r>
  <r>
    <x v="28"/>
    <x v="0"/>
    <x v="26"/>
    <x v="19"/>
    <x v="26"/>
    <s v="Adventura"/>
    <s v="PC;Xbox One;Playstation 4"/>
    <n v="6.5"/>
    <x v="1"/>
    <n v="82"/>
    <n v="76"/>
    <n v="90"/>
    <n v="1986"/>
    <n v="183"/>
    <n v="593"/>
    <n v="947"/>
    <n v="1000"/>
    <n v="1688"/>
  </r>
  <r>
    <x v="29"/>
    <x v="0"/>
    <x v="27"/>
    <x v="20"/>
    <x v="27"/>
    <s v="Akční;Adventura;Hack and Slash"/>
    <s v="PC;Xbox One;Playstation 4"/>
    <n v="7"/>
    <x v="1"/>
    <n v="91"/>
    <n v="94"/>
    <n v="90"/>
    <n v="18757"/>
    <n v="323"/>
    <n v="8653"/>
    <n v="651"/>
    <n v="411"/>
    <n v="945"/>
  </r>
  <r>
    <x v="30"/>
    <x v="1"/>
    <x v="28"/>
    <x v="21"/>
    <x v="28"/>
    <s v="RPG;Strategie"/>
    <s v="PC;Xbox One;Playstation 4;Nintendo Switch"/>
    <n v="12"/>
    <x v="2"/>
    <n v="67"/>
    <n v="88"/>
    <n v="98"/>
    <n v="963"/>
    <n v="9"/>
    <n v="86"/>
    <n v="714"/>
    <n v="324"/>
    <n v="561"/>
  </r>
  <r>
    <x v="31"/>
    <x v="0"/>
    <x v="29"/>
    <x v="9"/>
    <x v="29"/>
    <s v="Akční;RPG"/>
    <s v="PC;Xbox One;Playstation 4"/>
    <n v="20.5"/>
    <x v="1"/>
    <n v="74"/>
    <n v="74"/>
    <n v="80"/>
    <n v="2910"/>
    <n v="227"/>
    <n v="1785"/>
    <n v="1541"/>
    <n v="1435"/>
    <n v="1098"/>
  </r>
  <r>
    <x v="32"/>
    <x v="0"/>
    <x v="30"/>
    <x v="22"/>
    <x v="30"/>
    <s v="Adventura"/>
    <s v="PC;Xbox One;Playstation 4;Nintendo Switch"/>
    <n v="11"/>
    <x v="2"/>
    <n v="93"/>
    <n v="94"/>
    <n v="98"/>
    <n v="1521"/>
    <n v="201"/>
    <n v="223"/>
    <n v="443"/>
    <n v="1092"/>
    <n v="1896"/>
  </r>
  <r>
    <x v="33"/>
    <x v="0"/>
    <x v="31"/>
    <x v="5"/>
    <x v="31"/>
    <s v="Akční;RPG"/>
    <s v="PC;Xbox One;Playstation 4"/>
    <n v="20.5"/>
    <x v="1"/>
    <n v="84"/>
    <n v="98"/>
    <n v="98"/>
    <n v="29536"/>
    <n v="321"/>
    <n v="2130"/>
    <n v="1646"/>
    <n v="929"/>
    <n v="1082"/>
  </r>
  <r>
    <x v="34"/>
    <x v="0"/>
    <x v="8"/>
    <x v="8"/>
    <x v="32"/>
    <s v="FPS;RPG;Horror"/>
    <s v="PC;Xbox One;Playstation 4"/>
    <n v="16"/>
    <x v="1"/>
    <n v="88"/>
    <n v="86"/>
    <n v="80"/>
    <n v="10600"/>
    <n v="292"/>
    <n v="208"/>
    <n v="1297"/>
    <n v="1788"/>
    <n v="1556"/>
  </r>
  <r>
    <x v="35"/>
    <x v="0"/>
    <x v="32"/>
    <x v="23"/>
    <x v="33"/>
    <s v="Akční;RPG;Adventura;Otevřený svět"/>
    <s v="Nintendo Switch;Wii U"/>
    <n v="47"/>
    <x v="0"/>
    <s v="-"/>
    <s v="-"/>
    <s v="-"/>
    <s v="-"/>
    <s v="-"/>
    <s v="-"/>
    <s v="-"/>
    <s v="-"/>
    <s v="-"/>
  </r>
  <r>
    <x v="36"/>
    <x v="0"/>
    <x v="33"/>
    <x v="24"/>
    <x v="34"/>
    <s v="Adventura;Platformer"/>
    <s v="PC;Xbox One;Playstation 4;Nintendo Switch"/>
    <n v="3.5"/>
    <x v="2"/>
    <n v="88"/>
    <n v="92"/>
    <n v="90"/>
    <n v="5544"/>
    <n v="244"/>
    <n v="2880"/>
    <n v="339"/>
    <n v="397"/>
    <n v="650"/>
  </r>
  <r>
    <x v="37"/>
    <x v="0"/>
    <x v="34"/>
    <x v="25"/>
    <x v="35"/>
    <s v="Adventura"/>
    <s v="PC;Xbox One;Playstation 4"/>
    <n v="2"/>
    <x v="2"/>
    <n v="95"/>
    <n v="94"/>
    <n v="100"/>
    <n v="8693"/>
    <n v="221"/>
    <n v="1808"/>
    <n v="1568"/>
    <n v="740"/>
    <n v="935"/>
  </r>
  <r>
    <x v="38"/>
    <x v="0"/>
    <x v="35"/>
    <x v="26"/>
    <x v="36"/>
    <s v="Simulace;RPG"/>
    <s v="Playstation 4;PlayStation 3"/>
    <n v="97"/>
    <x v="1"/>
    <s v="-"/>
    <s v="-"/>
    <n v="98"/>
    <s v="-"/>
    <s v="-"/>
    <n v="5079"/>
    <s v="-"/>
    <s v="-"/>
    <n v="622"/>
  </r>
  <r>
    <x v="39"/>
    <x v="0"/>
    <x v="36"/>
    <x v="27"/>
    <x v="37"/>
    <s v="Akční;Adventura;Platformer;RPG"/>
    <s v="PC;Xbox One;Playstation 4;Nintendo Switch"/>
    <n v="22"/>
    <x v="0"/>
    <n v="95"/>
    <n v="94"/>
    <n v="98"/>
    <n v="31366"/>
    <n v="188"/>
    <n v="384"/>
    <n v="648"/>
    <n v="1564"/>
    <n v="1680"/>
  </r>
  <r>
    <x v="40"/>
    <x v="1"/>
    <x v="4"/>
    <x v="4"/>
    <x v="38"/>
    <s v="Závodní;Otevřený svět"/>
    <s v="PC;Xbox One"/>
    <n v="5"/>
    <x v="3"/>
    <n v="78"/>
    <n v="78"/>
    <s v="-"/>
    <n v="561"/>
    <n v="250"/>
    <s v="-"/>
    <n v="733"/>
    <n v="1499"/>
    <s v="-"/>
  </r>
  <r>
    <x v="41"/>
    <x v="0"/>
    <x v="37"/>
    <x v="4"/>
    <x v="39"/>
    <s v="Akční;Adventura"/>
    <s v="PC;Xbox One;Playstation 4"/>
    <n v="10.5"/>
    <x v="1"/>
    <n v="49"/>
    <n v="64"/>
    <n v="90"/>
    <n v="1133"/>
    <n v="459"/>
    <n v="445"/>
    <n v="912"/>
    <n v="950"/>
    <n v="1561"/>
  </r>
  <r>
    <x v="42"/>
    <x v="0"/>
    <x v="38"/>
    <x v="5"/>
    <x v="40"/>
    <s v="Akční;RPG;Adventura;Otevřený svět"/>
    <s v="PC;Xbox One;Playstation 4"/>
    <n v="26.5"/>
    <x v="2"/>
    <n v="78"/>
    <n v="76"/>
    <n v="90"/>
    <n v="11084"/>
    <n v="66"/>
    <n v="513"/>
    <n v="317"/>
    <n v="841"/>
    <n v="1622"/>
  </r>
  <r>
    <x v="43"/>
    <x v="0"/>
    <x v="11"/>
    <x v="3"/>
    <x v="41"/>
    <s v="Akční;Adventura;Otevřený svět"/>
    <s v="PC;Xbox One;Playstation 4"/>
    <n v="19"/>
    <x v="1"/>
    <n v="80"/>
    <n v="76"/>
    <n v="92"/>
    <n v="20720"/>
    <n v="442"/>
    <n v="21207"/>
    <n v="1260"/>
    <n v="814"/>
    <n v="1942"/>
  </r>
  <r>
    <x v="44"/>
    <x v="0"/>
    <x v="8"/>
    <x v="8"/>
    <x v="42"/>
    <s v="Akční;RPG;Stealth"/>
    <s v="PC;Xbox One;Playstation 4"/>
    <n v="13"/>
    <x v="1"/>
    <n v="79"/>
    <n v="84"/>
    <n v="90"/>
    <n v="13416"/>
    <n v="323"/>
    <n v="2347"/>
    <n v="738"/>
    <n v="1111"/>
    <n v="725"/>
  </r>
  <r>
    <x v="45"/>
    <x v="0"/>
    <x v="39"/>
    <x v="28"/>
    <x v="43"/>
    <s v="Adventura;Strategie"/>
    <s v="PC"/>
    <n v="6"/>
    <x v="2"/>
    <n v="90"/>
    <s v="-"/>
    <s v="-"/>
    <n v="8413"/>
    <s v="-"/>
    <s v="-"/>
    <n v="861"/>
    <s v="-"/>
    <s v="-"/>
  </r>
  <r>
    <x v="46"/>
    <x v="0"/>
    <x v="40"/>
    <x v="4"/>
    <x v="44"/>
    <s v="Akční;Adventura"/>
    <s v="PC;Xbox One"/>
    <n v="9"/>
    <x v="1"/>
    <n v="82"/>
    <n v="82"/>
    <s v="-"/>
    <n v="2552"/>
    <n v="2691"/>
    <s v="-"/>
    <n v="426"/>
    <n v="1060"/>
    <s v="-"/>
  </r>
  <r>
    <x v="47"/>
    <x v="0"/>
    <x v="4"/>
    <x v="4"/>
    <x v="45"/>
    <s v="Závodní;Otevřený svět"/>
    <s v="PC;Xbox One"/>
    <n v="17.5"/>
    <x v="3"/>
    <n v="82"/>
    <n v="82"/>
    <s v="-"/>
    <n v="3411"/>
    <n v="2000"/>
    <s v="-"/>
    <n v="920"/>
    <n v="1969"/>
    <s v="-"/>
  </r>
  <r>
    <x v="48"/>
    <x v="0"/>
    <x v="41"/>
    <x v="4"/>
    <x v="46"/>
    <s v="Akční;Adventura"/>
    <s v="PC;Xbox One"/>
    <n v="13"/>
    <x v="2"/>
    <n v="62"/>
    <n v="76"/>
    <s v="-"/>
    <n v="639"/>
    <n v="899"/>
    <s v="-"/>
    <n v="326"/>
    <n v="1226"/>
    <s v="-"/>
  </r>
  <r>
    <x v="49"/>
    <x v="0"/>
    <x v="42"/>
    <x v="29"/>
    <x v="47"/>
    <s v="Adventura;Platformer"/>
    <s v="PC;Xbox One;Playstation 4;Nintendo Switch"/>
    <n v="3.5"/>
    <x v="1"/>
    <n v="95"/>
    <n v="94"/>
    <n v="90"/>
    <n v="16346"/>
    <n v="576"/>
    <n v="6482"/>
    <n v="765"/>
    <n v="346"/>
    <n v="840"/>
  </r>
  <r>
    <x v="50"/>
    <x v="1"/>
    <x v="43"/>
    <x v="8"/>
    <x v="48"/>
    <s v="Akční;RPG;Adventura;Otevřený svět;FPS"/>
    <s v="PC;Xbox One;Playstation 4"/>
    <n v="7"/>
    <x v="1"/>
    <n v="84"/>
    <n v="90"/>
    <n v="90"/>
    <n v="1864"/>
    <n v="618"/>
    <n v="6933"/>
    <n v="455"/>
    <n v="1148"/>
    <n v="489"/>
  </r>
  <r>
    <x v="51"/>
    <x v="1"/>
    <x v="2"/>
    <x v="2"/>
    <x v="49"/>
    <s v="Akční;RPG;Adventura;Otevřený svět"/>
    <s v="PC;Xbox One;Playstation 4"/>
    <n v="16.3"/>
    <x v="1"/>
    <n v="99"/>
    <n v="98"/>
    <n v="99"/>
    <n v="4907"/>
    <n v="338"/>
    <n v="11945"/>
    <n v="1015"/>
    <n v="896"/>
    <n v="910"/>
  </r>
  <r>
    <x v="52"/>
    <x v="0"/>
    <x v="44"/>
    <x v="4"/>
    <x v="50"/>
    <s v="Platformer;RPG"/>
    <s v="PC;Xbox One"/>
    <n v="8.5"/>
    <x v="3"/>
    <n v="96"/>
    <n v="94"/>
    <s v="-"/>
    <n v="12731"/>
    <n v="364"/>
    <s v="-"/>
    <n v="1249"/>
    <n v="317"/>
    <s v="-"/>
  </r>
  <r>
    <x v="53"/>
    <x v="0"/>
    <x v="25"/>
    <x v="6"/>
    <x v="51"/>
    <s v="Akční;Adventura"/>
    <s v="Playstation 4"/>
    <n v="15"/>
    <x v="2"/>
    <s v="-"/>
    <s v="-"/>
    <n v="98"/>
    <s v="-"/>
    <s v="-"/>
    <n v="4870"/>
    <s v="-"/>
    <s v="-"/>
    <n v="556"/>
  </r>
  <r>
    <x v="54"/>
    <x v="0"/>
    <x v="45"/>
    <x v="14"/>
    <x v="52"/>
    <s v="RPG;Strategie"/>
    <s v="PC;Xbox One;Playstation 4;Nintendo Switch"/>
    <n v="12"/>
    <x v="2"/>
    <n v="91"/>
    <n v="70"/>
    <n v="90"/>
    <n v="1413"/>
    <n v="306"/>
    <n v="254"/>
    <n v="1918"/>
    <n v="1261"/>
    <n v="1661"/>
  </r>
  <r>
    <x v="55"/>
    <x v="0"/>
    <x v="46"/>
    <x v="4"/>
    <x v="53"/>
    <s v="Akční;Adventura"/>
    <s v="PC;Xbox One"/>
    <n v="10"/>
    <x v="1"/>
    <n v="84"/>
    <n v="82"/>
    <s v="-"/>
    <n v="7768"/>
    <n v="2001"/>
    <s v="-"/>
    <n v="1710"/>
    <n v="1887"/>
    <s v="-"/>
  </r>
  <r>
    <x v="56"/>
    <x v="0"/>
    <x v="47"/>
    <x v="30"/>
    <x v="54"/>
    <s v="RPG;Simulace"/>
    <s v="PC;Xbox One;Playstation 4;Nintendo Switch;Playstation Vita"/>
    <n v="49"/>
    <x v="0"/>
    <n v="97"/>
    <n v="94"/>
    <n v="88"/>
    <n v="95639"/>
    <n v="340"/>
    <n v="324"/>
    <n v="394"/>
    <n v="524"/>
    <n v="730"/>
  </r>
  <r>
    <x v="57"/>
    <x v="0"/>
    <x v="48"/>
    <x v="31"/>
    <x v="55"/>
    <s v="Akční;Adventura"/>
    <s v="Playstation 4"/>
    <n v="18"/>
    <x v="1"/>
    <s v="-"/>
    <s v="-"/>
    <n v="90"/>
    <s v="-"/>
    <s v="-"/>
    <n v="2641"/>
    <s v="-"/>
    <s v="-"/>
    <n v="461"/>
  </r>
  <r>
    <x v="58"/>
    <x v="0"/>
    <x v="49"/>
    <x v="32"/>
    <x v="56"/>
    <s v="Adventura"/>
    <s v="PC;Xbox One;Playstation 4;Nintendo Switch"/>
    <n v="4.5"/>
    <x v="2"/>
    <n v="93"/>
    <n v="94"/>
    <n v="90"/>
    <n v="5196"/>
    <n v="388"/>
    <n v="1094"/>
    <n v="415"/>
    <n v="1732"/>
    <n v="791"/>
  </r>
  <r>
    <x v="59"/>
    <x v="0"/>
    <x v="3"/>
    <x v="3"/>
    <x v="57"/>
    <s v="Akční;Adventura;Otevřený svět"/>
    <s v="PC;Xbox One;Playstation 4"/>
    <n v="18"/>
    <x v="1"/>
    <n v="75"/>
    <n v="72"/>
    <n v="86"/>
    <n v="8004"/>
    <n v="682"/>
    <n v="8169"/>
    <n v="1821"/>
    <n v="1393"/>
    <n v="595"/>
  </r>
  <r>
    <x v="60"/>
    <x v="0"/>
    <x v="43"/>
    <x v="8"/>
    <x v="58"/>
    <s v="Akční;RPG;Adventura;Otevřený svět;FPS"/>
    <s v="PC;Xbox One;Playstation 4"/>
    <n v="27"/>
    <x v="1"/>
    <n v="70"/>
    <n v="74"/>
    <n v="90"/>
    <n v="87213"/>
    <n v="2002"/>
    <n v="10796"/>
    <n v="1488"/>
    <n v="1308"/>
    <n v="992"/>
  </r>
  <r>
    <x v="61"/>
    <x v="0"/>
    <x v="50"/>
    <x v="5"/>
    <x v="58"/>
    <s v="Akční;Adventura"/>
    <s v="PC;Xbox One;Playstation 4"/>
    <n v="13.5"/>
    <x v="1"/>
    <n v="92"/>
    <n v="92"/>
    <n v="88"/>
    <n v="34084"/>
    <n v="1212"/>
    <n v="12590"/>
    <n v="1944"/>
    <n v="488"/>
    <n v="1653"/>
  </r>
  <r>
    <x v="62"/>
    <x v="0"/>
    <x v="51"/>
    <x v="33"/>
    <x v="59"/>
    <s v="Strategie"/>
    <s v="PC;Xbox One"/>
    <n v="8.5"/>
    <x v="0"/>
    <n v="86"/>
    <n v="82"/>
    <s v="-"/>
    <n v="3814"/>
    <n v="211"/>
    <s v="-"/>
    <n v="750"/>
    <n v="1807"/>
    <s v="-"/>
  </r>
  <r>
    <x v="63"/>
    <x v="1"/>
    <x v="2"/>
    <x v="2"/>
    <x v="60"/>
    <s v="Akční;RPG;Adventura;Otevřený svět"/>
    <s v="PC;Xbox One;Playstation 4"/>
    <n v="10"/>
    <x v="1"/>
    <n v="97"/>
    <n v="96"/>
    <n v="99"/>
    <n v="3201"/>
    <n v="1965"/>
    <n v="16322"/>
    <n v="1253"/>
    <n v="821"/>
    <n v="982"/>
  </r>
  <r>
    <x v="64"/>
    <x v="0"/>
    <x v="22"/>
    <x v="4"/>
    <x v="61"/>
    <s v="Závodní;Simulace"/>
    <s v="Xbox One"/>
    <n v="24"/>
    <x v="3"/>
    <s v="-"/>
    <n v="84"/>
    <s v="-"/>
    <s v="-"/>
    <n v="765"/>
    <s v="-"/>
    <s v="-"/>
    <n v="737"/>
    <s v="-"/>
  </r>
  <r>
    <x v="65"/>
    <x v="0"/>
    <x v="52"/>
    <x v="34"/>
    <x v="62"/>
    <s v="Akční;Adventura;Otevřený svět"/>
    <s v="PC;Xbox One;Playstation 4"/>
    <n v="19.5"/>
    <x v="1"/>
    <n v="89"/>
    <n v="86"/>
    <n v="90"/>
    <n v="21712"/>
    <n v="673"/>
    <n v="13098"/>
    <n v="827"/>
    <n v="598"/>
    <n v="1973"/>
  </r>
  <r>
    <x v="66"/>
    <x v="0"/>
    <x v="2"/>
    <x v="34"/>
    <x v="63"/>
    <s v="Akční;RPG;Adventura;Otevřený svět"/>
    <s v="PC;Xbox One;Playstation 4"/>
    <n v="51"/>
    <x v="1"/>
    <n v="97"/>
    <n v="98"/>
    <n v="99"/>
    <n v="164241"/>
    <n v="2000"/>
    <n v="11018"/>
    <n v="1811"/>
    <n v="1570"/>
    <n v="1714"/>
  </r>
  <r>
    <x v="67"/>
    <x v="0"/>
    <x v="19"/>
    <x v="8"/>
    <x v="64"/>
    <s v="FPS"/>
    <s v="PC;Xbox One;Playstation 4"/>
    <n v="6"/>
    <x v="1"/>
    <n v="88"/>
    <n v="90"/>
    <n v="86"/>
    <n v="4745"/>
    <n v="385"/>
    <n v="5324"/>
    <n v="355"/>
    <n v="658"/>
    <n v="1716"/>
  </r>
  <r>
    <x v="68"/>
    <x v="0"/>
    <x v="53"/>
    <x v="10"/>
    <x v="65"/>
    <s v="Akční;RPG"/>
    <s v="Playstation 4"/>
    <n v="35.5"/>
    <x v="1"/>
    <s v="-"/>
    <s v="-"/>
    <n v="92"/>
    <s v="-"/>
    <s v="-"/>
    <n v="36619"/>
    <s v="-"/>
    <s v="-"/>
    <n v="619"/>
  </r>
  <r>
    <x v="69"/>
    <x v="0"/>
    <x v="54"/>
    <x v="35"/>
    <x v="66"/>
    <s v="Akční"/>
    <s v="PC;Playstation 4;Playstation 3;Playstation Vita"/>
    <n v="9"/>
    <x v="1"/>
    <n v="91"/>
    <s v="-"/>
    <n v="90"/>
    <n v="19555"/>
    <s v="-"/>
    <n v="5997"/>
    <n v="394"/>
    <s v="-"/>
    <n v="1918"/>
  </r>
  <r>
    <x v="70"/>
    <x v="0"/>
    <x v="55"/>
    <x v="10"/>
    <x v="67"/>
    <s v="Akční;Adventura"/>
    <s v="Playstation 4"/>
    <n v="7"/>
    <x v="1"/>
    <s v="-"/>
    <s v="-"/>
    <n v="88"/>
    <s v="-"/>
    <s v="-"/>
    <n v="13943"/>
    <s v="-"/>
    <s v="-"/>
    <n v="1584"/>
  </r>
  <r>
    <x v="71"/>
    <x v="0"/>
    <x v="28"/>
    <x v="21"/>
    <x v="68"/>
    <s v="RPG;Strategie"/>
    <s v="PC;Xbox One;Playstation 4;Nintendo Switch"/>
    <n v="54"/>
    <x v="2"/>
    <n v="85"/>
    <n v="94"/>
    <n v="90"/>
    <n v="39952"/>
    <n v="83"/>
    <n v="2909"/>
    <n v="1706"/>
    <n v="627"/>
    <n v="1976"/>
  </r>
  <r>
    <x v="72"/>
    <x v="0"/>
    <x v="9"/>
    <x v="5"/>
    <x v="69"/>
    <s v="Adventura"/>
    <s v="PC;Xbox One;Playstation 4;Xbox 360;PlayStation 3"/>
    <n v="14"/>
    <x v="1"/>
    <n v="96"/>
    <n v="94"/>
    <n v="90"/>
    <n v="119422"/>
    <n v="719"/>
    <n v="23597"/>
    <n v="1521"/>
    <n v="1084"/>
    <n v="577"/>
  </r>
  <r>
    <x v="73"/>
    <x v="0"/>
    <x v="56"/>
    <x v="16"/>
    <x v="70"/>
    <s v="Akční;Adventura;Horror;Otevřený svět"/>
    <s v="PC;Xbox One;Playstation 4"/>
    <n v="18"/>
    <x v="1"/>
    <n v="92"/>
    <n v="86"/>
    <n v="90"/>
    <n v="53908"/>
    <n v="1371"/>
    <n v="25482"/>
    <n v="725"/>
    <n v="616"/>
    <n v="1581"/>
  </r>
  <r>
    <x v="74"/>
    <x v="0"/>
    <x v="57"/>
    <x v="36"/>
    <x v="71"/>
    <s v="Adventura"/>
    <s v="PC;Xbox One;Playstation 4;Xbox 360;PlayStation 3"/>
    <n v="10.5"/>
    <x v="1"/>
    <n v="95"/>
    <n v="94"/>
    <n v="90"/>
    <n v="11510"/>
    <n v="729"/>
    <n v="22291"/>
    <n v="1615"/>
    <n v="1854"/>
    <n v="1288"/>
  </r>
  <r>
    <x v="75"/>
    <x v="0"/>
    <x v="11"/>
    <x v="3"/>
    <x v="72"/>
    <s v="FPS;Otevřený svět;RPG"/>
    <s v="PC;Xbox One;Playstation 4;Xbox 360;PlayStation 3"/>
    <n v="17.5"/>
    <x v="1"/>
    <n v="77"/>
    <n v="86"/>
    <n v="90"/>
    <n v="18019"/>
    <n v="1075"/>
    <n v="34240"/>
    <n v="1883"/>
    <n v="1419"/>
    <n v="480"/>
  </r>
  <r>
    <x v="76"/>
    <x v="0"/>
    <x v="13"/>
    <x v="12"/>
    <x v="73"/>
    <s v="Adventura"/>
    <s v="PC;Xbox One;Playstation 4"/>
    <n v="10.5"/>
    <x v="1"/>
    <n v="95"/>
    <n v="86"/>
    <n v="90"/>
    <n v="41001"/>
    <n v="266"/>
    <n v="10974"/>
    <n v="576"/>
    <n v="1353"/>
    <n v="1090"/>
  </r>
  <r>
    <x v="77"/>
    <x v="0"/>
    <x v="58"/>
    <x v="3"/>
    <x v="74"/>
    <s v="Akční;Adventura;Otevřený svět"/>
    <s v="PC;Xbox One;Playstation 4;Xbox 360;PlayStation 3"/>
    <n v="10.5"/>
    <x v="1"/>
    <n v="80"/>
    <n v="92"/>
    <n v="90"/>
    <n v="4542"/>
    <n v="144"/>
    <n v="394"/>
    <n v="1965"/>
    <n v="1989"/>
    <n v="875"/>
  </r>
  <r>
    <x v="78"/>
    <x v="0"/>
    <x v="11"/>
    <x v="3"/>
    <x v="74"/>
    <s v="Akční;Adventura;Otevřený svět"/>
    <s v="PC;Xbox One;Playstation 4"/>
    <n v="17"/>
    <x v="1"/>
    <n v="59"/>
    <n v="76"/>
    <n v="80"/>
    <n v="15713"/>
    <n v="1811"/>
    <n v="15013"/>
    <n v="643"/>
    <n v="403"/>
    <n v="476"/>
  </r>
  <r>
    <x v="79"/>
    <x v="0"/>
    <x v="6"/>
    <x v="4"/>
    <x v="75"/>
    <s v="Akční"/>
    <s v="PC;Xbox One"/>
    <n v="10.5"/>
    <x v="1"/>
    <n v="90"/>
    <n v="86"/>
    <s v="-"/>
    <n v="1477"/>
    <n v="1495"/>
    <s v="-"/>
    <n v="697"/>
    <n v="1154"/>
    <s v="-"/>
  </r>
  <r>
    <x v="80"/>
    <x v="0"/>
    <x v="20"/>
    <x v="8"/>
    <x v="76"/>
    <s v="Akční;Horror"/>
    <s v="PC;Xbox One;Playstation 4;Xbox 360;PlayStation 3"/>
    <n v="16"/>
    <x v="1"/>
    <n v="80"/>
    <n v="86"/>
    <n v="90"/>
    <n v="7469"/>
    <n v="629"/>
    <n v="7396"/>
    <n v="1165"/>
    <n v="417"/>
    <n v="1819"/>
  </r>
  <r>
    <x v="81"/>
    <x v="0"/>
    <x v="59"/>
    <x v="31"/>
    <x v="77"/>
    <s v="Horror;Stealth"/>
    <s v="PC;Xbox One;Playstation 4;Xbox 360;PlayStation 3"/>
    <n v="18.5"/>
    <x v="1"/>
    <n v="91"/>
    <n v="88"/>
    <n v="92"/>
    <n v="16753"/>
    <n v="638"/>
    <n v="11015"/>
    <n v="1807"/>
    <n v="1010"/>
    <n v="473"/>
  </r>
  <r>
    <x v="82"/>
    <x v="0"/>
    <x v="4"/>
    <x v="4"/>
    <x v="78"/>
    <s v="Závodní;Otevřený svět"/>
    <s v="Xbox One;Xbox 360"/>
    <n v="19"/>
    <x v="0"/>
    <s v="-"/>
    <n v="82"/>
    <s v="-"/>
    <s v="-"/>
    <n v="1144"/>
    <s v="-"/>
    <s v="-"/>
    <n v="631"/>
    <s v="-"/>
  </r>
  <r>
    <x v="83"/>
    <x v="0"/>
    <x v="21"/>
    <x v="34"/>
    <x v="79"/>
    <s v="Akční;RPG;Otevřený svět"/>
    <s v="PC;Xbox One;Playstation 4;Xbox 360;PlayStation 3"/>
    <n v="16"/>
    <x v="1"/>
    <n v="91"/>
    <n v="86"/>
    <n v="90"/>
    <n v="34389"/>
    <n v="453"/>
    <n v="7136"/>
    <n v="1844"/>
    <n v="1813"/>
    <n v="1865"/>
  </r>
  <r>
    <x v="84"/>
    <x v="0"/>
    <x v="60"/>
    <x v="4"/>
    <x v="80"/>
    <s v="Akční;Adventura"/>
    <s v="PC;Xbox One"/>
    <n v="4.5"/>
    <x v="1"/>
    <n v="81"/>
    <n v="80"/>
    <s v="-"/>
    <n v="1375"/>
    <n v="586"/>
    <s v="-"/>
    <n v="993"/>
    <n v="775"/>
    <s v="-"/>
  </r>
  <r>
    <x v="85"/>
    <x v="0"/>
    <x v="61"/>
    <x v="3"/>
    <x v="81"/>
    <s v="Adventura"/>
    <s v="PC;Xbox One;Playstation 4;Xbox 360;PlayStation 3"/>
    <n v="6.5"/>
    <x v="2"/>
    <n v="95"/>
    <n v="92"/>
    <n v="90"/>
    <n v="13311"/>
    <n v="680"/>
    <n v="48045"/>
    <n v="1172"/>
    <n v="731"/>
    <n v="706"/>
  </r>
  <r>
    <x v="86"/>
    <x v="0"/>
    <x v="19"/>
    <x v="8"/>
    <x v="82"/>
    <s v="FPS"/>
    <s v="PC;Xbox One;Playstation 4;Xbox 360;PlayStation 3"/>
    <n v="12"/>
    <x v="1"/>
    <n v="89"/>
    <n v="90"/>
    <n v="90"/>
    <n v="20049"/>
    <n v="994"/>
    <n v="9175"/>
    <n v="816"/>
    <n v="1706"/>
    <n v="497"/>
  </r>
  <r>
    <x v="87"/>
    <x v="1"/>
    <x v="62"/>
    <x v="37"/>
    <x v="83"/>
    <s v="Akční;Adventura;FPS"/>
    <s v="PC;Xbox One;Playstation 4;Xbox 360;PlayStation 3"/>
    <n v="4"/>
    <x v="1"/>
    <n v="87"/>
    <n v="86"/>
    <n v="97"/>
    <n v="802"/>
    <n v="328"/>
    <n v="975"/>
    <n v="1095"/>
    <n v="880"/>
    <n v="318"/>
  </r>
  <r>
    <x v="88"/>
    <x v="0"/>
    <x v="63"/>
    <x v="35"/>
    <x v="84"/>
    <s v="Akční;Platformer"/>
    <s v="PC;Playstation 4"/>
    <n v="7"/>
    <x v="1"/>
    <n v="96"/>
    <s v="-"/>
    <n v="90"/>
    <n v="24697"/>
    <s v="-"/>
    <n v="30168"/>
    <n v="1151"/>
    <s v="-"/>
    <n v="545"/>
  </r>
  <r>
    <x v="89"/>
    <x v="0"/>
    <x v="64"/>
    <x v="4"/>
    <x v="85"/>
    <s v="Akční;Adventura"/>
    <s v="PC;Xbox One"/>
    <n v="6.5"/>
    <x v="1"/>
    <n v="83"/>
    <n v="82"/>
    <s v="-"/>
    <n v="13003"/>
    <n v="1876"/>
    <s v="-"/>
    <n v="338"/>
    <n v="940"/>
    <s v="-"/>
  </r>
  <r>
    <x v="90"/>
    <x v="0"/>
    <x v="65"/>
    <x v="10"/>
    <x v="86"/>
    <s v="FPS"/>
    <s v="Playstation 4"/>
    <n v="10"/>
    <x v="1"/>
    <s v="-"/>
    <s v="-"/>
    <n v="80"/>
    <s v="-"/>
    <s v="-"/>
    <n v="12640"/>
    <s v="-"/>
    <s v="-"/>
    <n v="1517"/>
  </r>
  <r>
    <x v="91"/>
    <x v="1"/>
    <x v="62"/>
    <x v="37"/>
    <x v="87"/>
    <s v="Akční;Adventura;FPS"/>
    <s v="PC;Xbox One;Playstation 4;Xbox 360;PlayStation 3"/>
    <n v="2.2999999999999998"/>
    <x v="1"/>
    <n v="80"/>
    <n v="81"/>
    <n v="98"/>
    <n v="700"/>
    <n v="184"/>
    <n v="1348"/>
    <n v="1439"/>
    <n v="319"/>
    <n v="439"/>
  </r>
  <r>
    <x v="92"/>
    <x v="0"/>
    <x v="11"/>
    <x v="3"/>
    <x v="88"/>
    <s v="Akční;Adventura;Otevřený svět"/>
    <s v="PC;Xbox One;Playstation 4;Xbox 360;PlayStation 3"/>
    <n v="23"/>
    <x v="1"/>
    <n v="87"/>
    <n v="88"/>
    <n v="90"/>
    <n v="22716"/>
    <n v="2000"/>
    <n v="21091"/>
    <n v="1695"/>
    <n v="1440"/>
    <n v="1235"/>
  </r>
  <r>
    <x v="93"/>
    <x v="0"/>
    <x v="57"/>
    <x v="36"/>
    <x v="89"/>
    <s v="Adventura"/>
    <s v="PC;Xbox One;Playstation 4;Xbox 360;PlayStation 3;Playstation Vita"/>
    <n v="8.5"/>
    <x v="1"/>
    <n v="97"/>
    <n v="96"/>
    <n v="100"/>
    <n v="17276"/>
    <n v="703"/>
    <n v="7286"/>
    <n v="328"/>
    <n v="1367"/>
    <n v="1144"/>
  </r>
  <r>
    <x v="94"/>
    <x v="0"/>
    <x v="66"/>
    <x v="38"/>
    <x v="90"/>
    <s v="Akční;Adventura;Otevřený svět"/>
    <s v="PC;Xbox One;Playstation 4;Xbox 360;PlayStation 3"/>
    <n v="32"/>
    <x v="1"/>
    <n v="69"/>
    <n v="60"/>
    <n v="90"/>
    <n v="379093"/>
    <n v="4579"/>
    <n v="114958"/>
    <n v="1417"/>
    <n v="896"/>
    <n v="632"/>
  </r>
  <r>
    <x v="95"/>
    <x v="0"/>
    <x v="67"/>
    <x v="39"/>
    <x v="91"/>
    <s v="Horror"/>
    <s v="PC;Xbox One;Playstation 4;Nintendo Switch"/>
    <n v="5"/>
    <x v="1"/>
    <n v="96"/>
    <n v="90"/>
    <n v="94"/>
    <n v="29097"/>
    <n v="1316"/>
    <n v="65557"/>
    <n v="1593"/>
    <n v="1216"/>
    <n v="500"/>
  </r>
  <r>
    <x v="96"/>
    <x v="1"/>
    <x v="8"/>
    <x v="8"/>
    <x v="92"/>
    <s v="Akční;RPG;Stealth"/>
    <s v="PC;Xbox One;Playstation 4;Xbox 360;PlayStation 3"/>
    <n v="4"/>
    <x v="1"/>
    <n v="96"/>
    <n v="92"/>
    <n v="86"/>
    <n v="33"/>
    <n v="210"/>
    <n v="523"/>
    <n v="404"/>
    <n v="618"/>
    <n v="592"/>
  </r>
  <r>
    <x v="97"/>
    <x v="0"/>
    <x v="68"/>
    <x v="40"/>
    <x v="93"/>
    <s v="Strategie;Simulace"/>
    <s v="PC;iOS"/>
    <n v="5"/>
    <x v="1"/>
    <n v="95"/>
    <s v="-"/>
    <s v="-"/>
    <n v="22288"/>
    <s v="-"/>
    <s v="-"/>
    <n v="363"/>
    <s v="-"/>
    <s v="-"/>
  </r>
  <r>
    <x v="98"/>
    <x v="0"/>
    <x v="69"/>
    <x v="4"/>
    <x v="94"/>
    <s v="Horror"/>
    <s v="PC;Xbox One;Xbox 360"/>
    <n v="16.5"/>
    <x v="1"/>
    <n v="75"/>
    <n v="80"/>
    <s v="-"/>
    <n v="4123"/>
    <n v="451"/>
    <s v="-"/>
    <n v="382"/>
    <n v="619"/>
    <s v="-"/>
  </r>
  <r>
    <x v="99"/>
    <x v="0"/>
    <x v="70"/>
    <x v="41"/>
    <x v="95"/>
    <s v="Akční;Strategie"/>
    <s v="PC"/>
    <n v="3"/>
    <x v="4"/>
    <n v="97"/>
    <s v="-"/>
    <s v="-"/>
    <n v="7894"/>
    <s v="-"/>
    <s v="-"/>
    <n v="1762"/>
    <s v="-"/>
    <s v="-"/>
  </r>
  <r>
    <x v="100"/>
    <x v="0"/>
    <x v="71"/>
    <x v="42"/>
    <x v="96"/>
    <s v="Platformer;Logické"/>
    <s v="PC;Xbox One;Playstation 4;Playstation 3;Wii U"/>
    <n v="5"/>
    <x v="0"/>
    <n v="95"/>
    <n v="80"/>
    <n v="90"/>
    <n v="3601"/>
    <n v="224"/>
    <n v="6066"/>
    <n v="1473"/>
    <n v="350"/>
    <n v="1892"/>
  </r>
  <r>
    <x v="101"/>
    <x v="0"/>
    <x v="72"/>
    <x v="43"/>
    <x v="97"/>
    <s v="FPS"/>
    <s v="PC;Xbox One; Playstation 4;Xbox 360;Playstation 3"/>
    <n v="10"/>
    <x v="1"/>
    <n v="93"/>
    <n v="86"/>
    <n v="92"/>
    <n v="18280"/>
    <n v="454"/>
    <n v="4012"/>
    <n v="1927"/>
    <n v="655"/>
    <n v="1244"/>
  </r>
  <r>
    <x v="102"/>
    <x v="0"/>
    <x v="25"/>
    <x v="10"/>
    <x v="98"/>
    <s v="Akční;Adventura;Horror"/>
    <s v="Playstation 4;PlayStation 3"/>
    <n v="15.5"/>
    <x v="1"/>
    <s v="-"/>
    <s v="-"/>
    <n v="100"/>
    <s v="-"/>
    <s v="-"/>
    <n v="34336"/>
    <s v="-"/>
    <s v="-"/>
    <n v="1201"/>
  </r>
  <r>
    <x v="103"/>
    <x v="0"/>
    <x v="62"/>
    <x v="37"/>
    <x v="99"/>
    <s v="Akční;Adventura;FPS"/>
    <s v="PC;Xbox One;Playstation 4;Xbox 360;PlayStation 3"/>
    <n v="12"/>
    <x v="1"/>
    <n v="95"/>
    <n v="96"/>
    <n v="90"/>
    <n v="56095"/>
    <n v="554"/>
    <n v="9531"/>
    <n v="1518"/>
    <n v="1906"/>
    <n v="845"/>
  </r>
  <r>
    <x v="104"/>
    <x v="1"/>
    <x v="8"/>
    <x v="8"/>
    <x v="100"/>
    <s v="Akční;RPG;Stealth"/>
    <s v="PC;Xbox One;Playstation 4;Xbox 360;PlayStation 3"/>
    <n v="4"/>
    <x v="1"/>
    <n v="96"/>
    <n v="92"/>
    <n v="88"/>
    <n v="54"/>
    <n v="223"/>
    <n v="578"/>
    <n v="1084"/>
    <n v="442"/>
    <n v="880"/>
  </r>
  <r>
    <x v="105"/>
    <x v="1"/>
    <x v="73"/>
    <x v="5"/>
    <x v="101"/>
    <s v="Akční"/>
    <s v="PC;Xbox One;Playstation 4;Xbox 360;PlayStation 3"/>
    <n v="2"/>
    <x v="1"/>
    <n v="62"/>
    <n v="87"/>
    <n v="90"/>
    <n v="32"/>
    <n v="586"/>
    <n v="331"/>
    <n v="1291"/>
    <n v="1329"/>
    <n v="947"/>
  </r>
  <r>
    <x v="106"/>
    <x v="0"/>
    <x v="50"/>
    <x v="5"/>
    <x v="102"/>
    <s v="Akční;Platformer;Adventura"/>
    <s v="PC;Xbox One;Playstation 4;Xbox 360;PlayStation 3"/>
    <n v="11.5"/>
    <x v="1"/>
    <n v="95"/>
    <n v="92"/>
    <n v="92"/>
    <n v="70866"/>
    <n v="2000"/>
    <n v="28158"/>
    <n v="1240"/>
    <n v="1893"/>
    <n v="476"/>
  </r>
  <r>
    <x v="107"/>
    <x v="1"/>
    <x v="4"/>
    <x v="4"/>
    <x v="103"/>
    <s v="Závodní"/>
    <s v="Xbox One;Xbox 360"/>
    <n v="4.5"/>
    <x v="2"/>
    <s v="-"/>
    <n v="76"/>
    <s v="-"/>
    <s v="-"/>
    <n v="128"/>
    <s v="-"/>
    <s v="-"/>
    <n v="651"/>
    <s v="-"/>
  </r>
  <r>
    <x v="108"/>
    <x v="0"/>
    <x v="11"/>
    <x v="3"/>
    <x v="104"/>
    <s v="FPS;Otevřený svět;RPG"/>
    <s v="PC;Xbox One;Playstation 4;Xbox 360;PlayStation 3"/>
    <n v="16.5"/>
    <x v="1"/>
    <n v="88"/>
    <n v="82"/>
    <n v="98"/>
    <n v="44264"/>
    <n v="204"/>
    <n v="2056"/>
    <n v="1655"/>
    <n v="933"/>
    <n v="820"/>
  </r>
  <r>
    <x v="109"/>
    <x v="0"/>
    <x v="4"/>
    <x v="4"/>
    <x v="105"/>
    <s v="Závodní"/>
    <s v="Xbox One;Xbox 360"/>
    <n v="17"/>
    <x v="2"/>
    <s v="-"/>
    <n v="80"/>
    <s v="-"/>
    <s v="-"/>
    <n v="230"/>
    <s v="-"/>
    <s v="-"/>
    <n v="1137"/>
    <s v="-"/>
  </r>
  <r>
    <x v="110"/>
    <x v="0"/>
    <x v="16"/>
    <x v="8"/>
    <x v="106"/>
    <s v="Akční;Adventura;Otevřený svět;RPG"/>
    <s v="PC;Xbox One;Xbox 360;PlayStation 3"/>
    <n v="28"/>
    <x v="1"/>
    <n v="85"/>
    <n v="94"/>
    <s v="-"/>
    <n v="2842"/>
    <n v="380"/>
    <s v="-"/>
    <n v="1618"/>
    <n v="1216"/>
    <s v="-"/>
  </r>
  <r>
    <x v="111"/>
    <x v="0"/>
    <x v="8"/>
    <x v="8"/>
    <x v="107"/>
    <s v="Akční;RPG;Stealth"/>
    <s v="PC;Xbox One;Playstation 4;Xbox 360;PlayStation 3"/>
    <n v="12.5"/>
    <x v="1"/>
    <n v="97"/>
    <n v="92"/>
    <n v="88"/>
    <n v="2611"/>
    <n v="466"/>
    <n v="2324"/>
    <n v="1142"/>
    <n v="668"/>
    <n v="696"/>
  </r>
  <r>
    <x v="112"/>
    <x v="0"/>
    <x v="74"/>
    <x v="37"/>
    <x v="108"/>
    <s v="FPS;RPG;Otevřený svět;Akční"/>
    <s v="PC;Xbox One;Xbox 360;PlayStation 3;Playstation Vita"/>
    <n v="31"/>
    <x v="1"/>
    <n v="96"/>
    <n v="88"/>
    <s v="-"/>
    <n v="89865"/>
    <n v="645"/>
    <s v="-"/>
    <n v="601"/>
    <n v="605"/>
    <s v="-"/>
  </r>
  <r>
    <x v="113"/>
    <x v="0"/>
    <x v="73"/>
    <x v="5"/>
    <x v="109"/>
    <s v="Akční"/>
    <s v="PC;Xbox One;Playstation 4;Xbox 360;PlayStation 3"/>
    <n v="15.5"/>
    <x v="1"/>
    <n v="93"/>
    <n v="88"/>
    <n v="90"/>
    <n v="13404"/>
    <n v="607"/>
    <n v="14043"/>
    <n v="1993"/>
    <n v="1839"/>
    <n v="1552"/>
  </r>
  <r>
    <x v="114"/>
    <x v="0"/>
    <x v="75"/>
    <x v="44"/>
    <x v="110"/>
    <s v="Akční;Adventura"/>
    <s v="PC;Xbox One;Playstation 4;Xbox 360;PlayStation 3"/>
    <n v="29.5"/>
    <x v="1"/>
    <n v="74"/>
    <n v="80"/>
    <n v="82"/>
    <n v="6066"/>
    <n v="353"/>
    <n v="856"/>
    <n v="1200"/>
    <n v="200"/>
    <n v="50"/>
  </r>
  <r>
    <x v="115"/>
    <x v="0"/>
    <x v="76"/>
    <x v="37"/>
    <x v="111"/>
    <s v="Strategie"/>
    <s v="PC;Xbox One;Xbox 360;PlayStation 3"/>
    <n v="6"/>
    <x v="1"/>
    <n v="93"/>
    <n v="94"/>
    <s v="-"/>
    <n v="17264"/>
    <n v="106"/>
    <s v="-"/>
    <n v="1381"/>
    <n v="1004"/>
    <s v="-"/>
  </r>
  <r>
    <x v="116"/>
    <x v="1"/>
    <x v="77"/>
    <x v="4"/>
    <x v="112"/>
    <s v="Akční;Adventura"/>
    <s v="Xbox One;Xbox 360"/>
    <n v="3"/>
    <x v="1"/>
    <s v="-"/>
    <n v="80"/>
    <s v="-"/>
    <s v="-"/>
    <n v="83"/>
    <s v="-"/>
    <s v="-"/>
    <n v="1126"/>
    <s v="-"/>
  </r>
  <r>
    <x v="117"/>
    <x v="0"/>
    <x v="11"/>
    <x v="3"/>
    <x v="113"/>
    <s v="Akční;Adventura;Otevřený svět"/>
    <s v="PC;Xbox One;Xbox 360;PlayStation 3"/>
    <n v="13"/>
    <x v="1"/>
    <n v="84"/>
    <n v="80"/>
    <s v="-"/>
    <n v="5793"/>
    <n v="201"/>
    <s v="-"/>
    <n v="1782"/>
    <n v="812"/>
    <s v="-"/>
  </r>
  <r>
    <x v="118"/>
    <x v="0"/>
    <x v="43"/>
    <x v="8"/>
    <x v="114"/>
    <s v="Akční;RPG;Adventura;Otevřený svět"/>
    <s v="PC;Xbox One;Playstation 4;Xbox 360;PlayStation 3;Nintendo Switch"/>
    <n v="34.5"/>
    <x v="1"/>
    <n v="82"/>
    <n v="88"/>
    <n v="98"/>
    <n v="12116"/>
    <n v="1206"/>
    <n v="11862"/>
    <n v="1023"/>
    <n v="977"/>
    <n v="1094"/>
  </r>
  <r>
    <x v="119"/>
    <x v="0"/>
    <x v="78"/>
    <x v="45"/>
    <x v="115"/>
    <s v="Akční;RPG"/>
    <s v="PC"/>
    <n v="11.5"/>
    <x v="1"/>
    <n v="95"/>
    <s v="-"/>
    <s v="-"/>
    <n v="33125"/>
    <s v="-"/>
    <s v="-"/>
    <n v="1576"/>
    <s v="-"/>
    <s v="-"/>
  </r>
  <r>
    <x v="120"/>
    <x v="0"/>
    <x v="79"/>
    <x v="46"/>
    <x v="116"/>
    <s v="Akční;RPG"/>
    <s v="PC;Xbox One;Xbox 360;PlayStation 3"/>
    <n v="48"/>
    <x v="1"/>
    <n v="89"/>
    <n v="90"/>
    <s v="-"/>
    <n v="48149"/>
    <n v="368"/>
    <s v="-"/>
    <n v="386"/>
    <n v="733"/>
    <s v="-"/>
  </r>
  <r>
    <x v="121"/>
    <x v="0"/>
    <x v="77"/>
    <x v="4"/>
    <x v="116"/>
    <s v="Akční;Adventura"/>
    <s v="Xbox One;Xbox 360"/>
    <n v="9.5"/>
    <x v="1"/>
    <s v="-"/>
    <n v="88"/>
    <s v="-"/>
    <s v="-"/>
    <n v="409"/>
    <s v="-"/>
    <s v="-"/>
    <n v="1730"/>
    <s v="-"/>
  </r>
  <r>
    <x v="122"/>
    <x v="0"/>
    <x v="80"/>
    <x v="5"/>
    <x v="117"/>
    <s v="Akční;Adventura;Stealth;Strategie"/>
    <s v="PC;Xbox One;Xbox 360;PlayStation 3"/>
    <n v="22"/>
    <x v="1"/>
    <n v="91"/>
    <n v="90"/>
    <s v="-"/>
    <n v="11074"/>
    <n v="249"/>
    <s v="-"/>
    <n v="1932"/>
    <n v="661"/>
    <s v="-"/>
  </r>
  <r>
    <x v="123"/>
    <x v="0"/>
    <x v="81"/>
    <x v="38"/>
    <x v="118"/>
    <s v="Akční;Adventura"/>
    <s v="PC;Xbox One;Playstation 4;Xbox 360;PlayStation 3;Nintendo Switch"/>
    <n v="21.5"/>
    <x v="1"/>
    <n v="85"/>
    <n v="94"/>
    <n v="90"/>
    <n v="12806"/>
    <n v="210"/>
    <n v="483"/>
    <n v="1801"/>
    <n v="1719"/>
    <n v="1260"/>
  </r>
  <r>
    <x v="124"/>
    <x v="0"/>
    <x v="82"/>
    <x v="23"/>
    <x v="119"/>
    <s v="Akční;Adventura"/>
    <s v="Nintendo Switch"/>
    <n v="32"/>
    <x v="2"/>
    <s v="-"/>
    <s v="-"/>
    <s v="-"/>
    <s v="-"/>
    <s v="-"/>
    <s v="-"/>
    <s v="-"/>
    <s v="-"/>
    <s v="-"/>
  </r>
  <r>
    <x v="125"/>
    <x v="0"/>
    <x v="2"/>
    <x v="2"/>
    <x v="120"/>
    <s v="Akční;RPG;Adventura"/>
    <s v="PC;Xbox One;Xbox 360"/>
    <n v="24"/>
    <x v="1"/>
    <n v="88"/>
    <n v="88"/>
    <s v="-"/>
    <n v="33809"/>
    <n v="269"/>
    <s v="-"/>
    <n v="1428"/>
    <n v="508"/>
    <s v="-"/>
  </r>
  <r>
    <x v="126"/>
    <x v="0"/>
    <x v="83"/>
    <x v="47"/>
    <x v="121"/>
    <s v="FPS"/>
    <s v="PC;Xbox One;Xbox 360;PlayStation 3"/>
    <n v="9"/>
    <x v="1"/>
    <n v="83"/>
    <n v="80"/>
    <s v="-"/>
    <n v="4795"/>
    <n v="4"/>
    <s v="-"/>
    <n v="1308"/>
    <n v="1182"/>
    <s v="-"/>
  </r>
  <r>
    <x v="127"/>
    <x v="0"/>
    <x v="84"/>
    <x v="48"/>
    <x v="122"/>
    <s v="FPS;Platformer"/>
    <s v="PC;Xbox One;Xbox 360;PlayStation 3"/>
    <n v="9"/>
    <x v="0"/>
    <n v="98"/>
    <n v="96"/>
    <s v="-"/>
    <n v="98794"/>
    <n v="232"/>
    <s v="-"/>
    <n v="1865"/>
    <n v="1148"/>
    <s v="-"/>
  </r>
  <r>
    <x v="128"/>
    <x v="0"/>
    <x v="85"/>
    <x v="37"/>
    <x v="123"/>
    <s v="Akční;Adventura"/>
    <s v="PC;Xbox One;Xbox 360;PlayStation 3"/>
    <n v="12"/>
    <x v="1"/>
    <n v="93"/>
    <n v="96"/>
    <s v="-"/>
    <n v="16061"/>
    <n v="204"/>
    <s v="-"/>
    <n v="918"/>
    <n v="599"/>
    <s v="-"/>
  </r>
  <r>
    <x v="129"/>
    <x v="0"/>
    <x v="72"/>
    <x v="43"/>
    <x v="124"/>
    <s v="FPS"/>
    <s v="PC;Xbox One; Playstation 4;Xbox 360;Playstation 3"/>
    <n v="9"/>
    <x v="1"/>
    <n v="91"/>
    <n v="86"/>
    <n v="90"/>
    <n v="22696"/>
    <n v="445"/>
    <n v="3942"/>
    <n v="1060"/>
    <n v="406"/>
    <n v="1839"/>
  </r>
  <r>
    <x v="130"/>
    <x v="0"/>
    <x v="86"/>
    <x v="38"/>
    <x v="125"/>
    <s v="Akční;Adventura;Otevřený svět"/>
    <s v="Xbox One;Xbox 360;Playstation 3"/>
    <n v="18"/>
    <x v="1"/>
    <s v="-"/>
    <n v="92"/>
    <s v="-"/>
    <s v="-"/>
    <n v="767"/>
    <s v="-"/>
    <s v="-"/>
    <n v="1787"/>
    <s v="-"/>
  </r>
  <r>
    <x v="131"/>
    <x v="0"/>
    <x v="87"/>
    <x v="47"/>
    <x v="126"/>
    <s v="Akční;RPG"/>
    <s v="PC;Xbox One;Xbox 360;PlayStation 3"/>
    <n v="25"/>
    <x v="1"/>
    <n v="95"/>
    <n v="96"/>
    <s v="-"/>
    <n v="9355"/>
    <n v="233"/>
    <s v="-"/>
    <n v="1706"/>
    <n v="1044"/>
    <s v="-"/>
  </r>
  <r>
    <x v="132"/>
    <x v="0"/>
    <x v="75"/>
    <x v="44"/>
    <x v="127"/>
    <s v="Akční;Adventura;Hack and Slash"/>
    <s v="PC;Xbox One;Playstation 4;Xbox 360;PlayStation 3"/>
    <n v="20.100000000000001"/>
    <x v="1"/>
    <n v="89"/>
    <n v="75"/>
    <n v="75"/>
    <n v="6275"/>
    <n v="218"/>
    <n v="853"/>
    <n v="153"/>
    <n v="75"/>
    <n v="20"/>
  </r>
  <r>
    <x v="133"/>
    <x v="0"/>
    <x v="88"/>
    <x v="48"/>
    <x v="128"/>
    <s v="FPS;Horror"/>
    <s v="PC;Xbox One;Xbox 360"/>
    <n v="9.5"/>
    <x v="1"/>
    <n v="96"/>
    <n v="94"/>
    <s v="-"/>
    <n v="145750"/>
    <n v="589"/>
    <s v="-"/>
    <n v="1532"/>
    <n v="1923"/>
    <s v="-"/>
  </r>
  <r>
    <x v="134"/>
    <x v="0"/>
    <x v="11"/>
    <x v="3"/>
    <x v="129"/>
    <s v="Akční;Adventura;Otevřený svět"/>
    <s v="PC;Xbox One;Xbox 360;PlayStation 3"/>
    <n v="19"/>
    <x v="1"/>
    <n v="84"/>
    <n v="94"/>
    <s v="-"/>
    <n v="14766"/>
    <n v="290"/>
    <s v="-"/>
    <n v="1511"/>
    <n v="965"/>
    <s v="-"/>
  </r>
  <r>
    <x v="135"/>
    <x v="1"/>
    <x v="77"/>
    <x v="4"/>
    <x v="130"/>
    <s v="Akční;Adventura"/>
    <s v="Xbox One;Xbox 360"/>
    <n v="0.5"/>
    <x v="1"/>
    <s v="-"/>
    <n v="88"/>
    <s v="-"/>
    <s v="-"/>
    <n v="139"/>
    <s v="-"/>
    <s v="-"/>
    <n v="344"/>
    <s v="-"/>
  </r>
  <r>
    <x v="136"/>
    <x v="0"/>
    <x v="89"/>
    <x v="49"/>
    <x v="131"/>
    <s v="Strategické"/>
    <s v="PC;Xbox 360;Playstation 3;Xbox One;Playstation Vita"/>
    <n v="8"/>
    <x v="3"/>
    <n v="97"/>
    <n v="90"/>
    <s v="-"/>
    <n v="12130"/>
    <n v="286"/>
    <s v="-"/>
    <n v="1932"/>
    <n v="370"/>
    <s v="-"/>
  </r>
  <r>
    <x v="137"/>
    <x v="0"/>
    <x v="90"/>
    <x v="4"/>
    <x v="132"/>
    <s v="RTS"/>
    <s v="PC;Xbox One;Xbox 360"/>
    <n v="9"/>
    <x v="2"/>
    <n v="89"/>
    <n v="74"/>
    <s v="-"/>
    <n v="2232"/>
    <n v="850"/>
    <s v="-"/>
    <n v="1604"/>
    <n v="1400"/>
    <s v="-"/>
  </r>
  <r>
    <x v="138"/>
    <x v="0"/>
    <x v="77"/>
    <x v="4"/>
    <x v="133"/>
    <s v="Akční;Adventura"/>
    <s v="Xbox One;Xbox 360"/>
    <n v="10"/>
    <x v="1"/>
    <s v="-"/>
    <n v="0.88"/>
    <s v="-"/>
    <s v="-"/>
    <n v="298"/>
    <s v="-"/>
    <s v="-"/>
    <n v="739"/>
    <s v="-"/>
  </r>
  <r>
    <x v="139"/>
    <x v="0"/>
    <x v="43"/>
    <x v="8"/>
    <x v="134"/>
    <s v="Akční;RPG;Adventura;Otevřený svět;FPS"/>
    <s v="PC;Xbox One;Xbox 360;PlayStation 3"/>
    <n v="24.5"/>
    <x v="1"/>
    <n v="78"/>
    <n v="90"/>
    <s v="-"/>
    <n v="10341"/>
    <n v="683"/>
    <s v="-"/>
    <n v="895"/>
    <n v="403"/>
    <s v="-"/>
  </r>
  <r>
    <x v="140"/>
    <x v="0"/>
    <x v="87"/>
    <x v="50"/>
    <x v="135"/>
    <s v="Akční;RPG"/>
    <s v="PC;Xbox One;Xbox 360;PlayStation 3"/>
    <n v="18"/>
    <x v="1"/>
    <n v="94"/>
    <n v="94"/>
    <s v="-"/>
    <n v="9474"/>
    <n v="490"/>
    <s v="-"/>
    <n v="1665"/>
    <n v="1260"/>
    <s v="-"/>
  </r>
  <r>
    <x v="141"/>
    <x v="0"/>
    <x v="11"/>
    <x v="3"/>
    <x v="136"/>
    <s v="Akční;Adventura"/>
    <s v="PC;Xbox One;Xbox 360;PlayStation 3"/>
    <n v="15"/>
    <x v="1"/>
    <n v="82"/>
    <n v="86"/>
    <s v="-"/>
    <n v="5800"/>
    <n v="234"/>
    <s v="-"/>
    <n v="806"/>
    <n v="1859"/>
    <s v="-"/>
  </r>
  <r>
    <x v="142"/>
    <x v="0"/>
    <x v="83"/>
    <x v="47"/>
    <x v="137"/>
    <s v="FPS"/>
    <s v="PC;Xbox One;Xbox 360;PlayStation 3"/>
    <n v="10.5"/>
    <x v="1"/>
    <n v="82"/>
    <n v="92"/>
    <s v="-"/>
    <n v="6440"/>
    <n v="20"/>
    <s v="-"/>
    <n v="588"/>
    <n v="1552"/>
    <s v="-"/>
  </r>
  <r>
    <x v="143"/>
    <x v="0"/>
    <x v="62"/>
    <x v="37"/>
    <x v="138"/>
    <s v="Akční;FPS;RPG;Horror"/>
    <s v="PC;Xbox One;Playstation 4;Xbox 360;PlayStation 3"/>
    <n v="12.1"/>
    <x v="1"/>
    <n v="94"/>
    <n v="96"/>
    <n v="90"/>
    <n v="15281"/>
    <n v="227"/>
    <n v="1480"/>
    <n v="691"/>
    <n v="1870"/>
    <n v="1613"/>
  </r>
  <r>
    <x v="144"/>
    <x v="0"/>
    <x v="91"/>
    <x v="51"/>
    <x v="139"/>
    <s v="FPS"/>
    <s v="PC"/>
    <n v="16.5"/>
    <x v="1"/>
    <n v="94"/>
    <s v="-"/>
    <s v="-"/>
    <n v="8135"/>
    <s v="-"/>
    <s v="-"/>
    <n v="1169"/>
    <n v="547"/>
    <n v="1982"/>
  </r>
  <r>
    <x v="145"/>
    <x v="0"/>
    <x v="92"/>
    <x v="4"/>
    <x v="140"/>
    <s v="Akční"/>
    <s v="Xbox One;Xbox 360"/>
    <n v="11"/>
    <x v="1"/>
    <s v="-"/>
    <n v="92"/>
    <s v="-"/>
    <s v="-"/>
    <n v="545"/>
    <s v="-"/>
    <s v="-"/>
    <n v="1040"/>
    <s v="-"/>
  </r>
  <r>
    <x v="146"/>
    <x v="0"/>
    <x v="77"/>
    <x v="4"/>
    <x v="141"/>
    <s v="Akční;Adventura"/>
    <s v="Xbox One;Xbox 360"/>
    <n v="9"/>
    <x v="1"/>
    <s v="-"/>
    <n v="90"/>
    <s v="-"/>
    <s v="-"/>
    <n v="304"/>
    <s v="-"/>
    <s v="-"/>
    <n v="1452"/>
    <s v="-"/>
  </r>
  <r>
    <x v="147"/>
    <x v="0"/>
    <x v="84"/>
    <x v="48"/>
    <x v="142"/>
    <s v="FPS"/>
    <s v="PC;Xbox One;Xbox 360;Playstation 3;Xbox"/>
    <n v="13"/>
    <x v="1"/>
    <n v="96"/>
    <n v="92"/>
    <s v="-"/>
    <n v="48150"/>
    <n v="209"/>
    <s v="-"/>
    <n v="903"/>
    <n v="1673"/>
    <s v="-"/>
  </r>
  <r>
    <x v="148"/>
    <x v="0"/>
    <x v="64"/>
    <x v="3"/>
    <x v="143"/>
    <s v="FPS"/>
    <s v="PC;Xbox 360;Playstation 3;Xbox"/>
    <n v="13.5"/>
    <x v="1"/>
    <n v="84"/>
    <s v="-"/>
    <s v="-"/>
    <n v="3153"/>
    <s v="-"/>
    <s v="-"/>
    <n v="1891"/>
    <s v="-"/>
    <s v="-"/>
  </r>
  <r>
    <x v="149"/>
    <x v="0"/>
    <x v="93"/>
    <x v="3"/>
    <x v="144"/>
    <s v="Akční;Adventura"/>
    <s v="PC;Xbox One;Xbox 360;Playstation 3;Xbox"/>
    <n v="11"/>
    <x v="2"/>
    <n v="90"/>
    <n v="86"/>
    <s v="-"/>
    <n v="1777"/>
    <n v="214"/>
    <s v="-"/>
    <n v="724"/>
    <n v="1473"/>
    <s v="-"/>
  </r>
  <r>
    <x v="150"/>
    <x v="0"/>
    <x v="94"/>
    <x v="52"/>
    <x v="145"/>
    <s v="Akční;Adventura"/>
    <s v="PC;Playstation 2;Xbox"/>
    <n v="16"/>
    <x v="1"/>
    <n v="91"/>
    <s v="-"/>
    <s v="-"/>
    <n v="1457"/>
    <s v="-"/>
    <s v="-"/>
    <n v="416"/>
    <s v="-"/>
    <s v="-"/>
  </r>
  <r>
    <x v="151"/>
    <x v="0"/>
    <x v="95"/>
    <x v="53"/>
    <x v="146"/>
    <s v="FPS"/>
    <s v="PC;Xbox;Playstation 2"/>
    <n v="8"/>
    <x v="1"/>
    <n v="91"/>
    <s v="-"/>
    <s v="-"/>
    <n v="2763"/>
    <s v="-"/>
    <s v="-"/>
    <n v="465"/>
    <s v="-"/>
    <s v="-"/>
  </r>
  <r>
    <x v="152"/>
    <x v="0"/>
    <x v="96"/>
    <x v="23"/>
    <x v="147"/>
    <s v="Akční;Adventura;Platformer"/>
    <s v="Xbox One;Xbox 360"/>
    <n v="11"/>
    <x v="3"/>
    <s v="-"/>
    <n v="88"/>
    <s v="-"/>
    <s v="-"/>
    <n v="247"/>
    <s v="-"/>
    <s v="-"/>
    <n v="1204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x v="0"/>
    <x v="0"/>
    <x v="0"/>
    <x v="0"/>
    <s v="Akční"/>
    <s v="Nintendo Switch"/>
    <n v="31.5"/>
    <x v="0"/>
    <s v="-"/>
    <s v="-"/>
    <s v="-"/>
    <s v="-"/>
    <s v="-"/>
    <s v="-"/>
    <s v="-"/>
    <s v="-"/>
    <s v="-"/>
  </r>
  <r>
    <x v="1"/>
    <x v="0"/>
    <x v="1"/>
    <x v="1"/>
    <x v="1"/>
    <s v="Akční;Adventura;FPS;Otevřený svět"/>
    <s v="Xbox One;Playstation 4"/>
    <n v="41.1"/>
    <x v="1"/>
    <s v="-"/>
    <n v="86"/>
    <n v="88"/>
    <s v="-"/>
    <n v="666"/>
    <n v="4814"/>
    <s v="-"/>
    <n v="1356"/>
    <n v="1189"/>
  </r>
  <r>
    <x v="2"/>
    <x v="0"/>
    <x v="2"/>
    <x v="2"/>
    <x v="2"/>
    <s v="RPG"/>
    <s v="PC"/>
    <n v="30"/>
    <x v="2"/>
    <n v="91"/>
    <s v="-"/>
    <s v="-"/>
    <n v="1405"/>
    <s v="-"/>
    <s v="-"/>
    <n v="1310"/>
    <s v="-"/>
    <s v="-"/>
  </r>
  <r>
    <x v="3"/>
    <x v="0"/>
    <x v="3"/>
    <x v="3"/>
    <x v="3"/>
    <s v="Akční;Adventura;Otevřený svět"/>
    <s v="PC;Xbox One;Playstation 4"/>
    <n v="34"/>
    <x v="1"/>
    <n v="85"/>
    <n v="88"/>
    <n v="90"/>
    <n v="12209"/>
    <n v="289"/>
    <n v="936"/>
    <n v="387"/>
    <n v="499"/>
    <n v="352"/>
  </r>
  <r>
    <x v="4"/>
    <x v="0"/>
    <x v="4"/>
    <x v="4"/>
    <x v="4"/>
    <s v="Závodní;Otevřený svět"/>
    <s v="PC;Xbox One"/>
    <n v="8.5"/>
    <x v="3"/>
    <n v="96"/>
    <n v="96"/>
    <s v="-"/>
    <n v="40000"/>
    <n v="40000"/>
    <s v="-"/>
    <n v="1190"/>
    <n v="948"/>
    <s v="-"/>
  </r>
  <r>
    <x v="5"/>
    <x v="0"/>
    <x v="5"/>
    <x v="5"/>
    <x v="5"/>
    <s v="Akční;Adventura"/>
    <s v="PC;Xbox One;Playstation 4;Xbox 360"/>
    <n v="13"/>
    <x v="1"/>
    <n v="71"/>
    <n v="90"/>
    <n v="88"/>
    <n v="7660"/>
    <n v="230"/>
    <n v="865"/>
    <n v="904"/>
    <n v="917"/>
    <n v="1843"/>
  </r>
  <r>
    <x v="6"/>
    <x v="0"/>
    <x v="6"/>
    <x v="6"/>
    <x v="6"/>
    <s v="Akční;Adventura;Otevřený svět"/>
    <s v="Playstation 4"/>
    <n v="16.5"/>
    <x v="2"/>
    <s v="-"/>
    <s v="-"/>
    <n v="98"/>
    <s v="-"/>
    <s v="-"/>
    <n v="2360"/>
    <s v="-"/>
    <s v="-"/>
    <n v="767"/>
  </r>
  <r>
    <x v="7"/>
    <x v="0"/>
    <x v="7"/>
    <x v="7"/>
    <x v="7"/>
    <s v="Akční"/>
    <s v="PC;Xbox One;Playstation 4;Nintendo Switch"/>
    <n v="5.5"/>
    <x v="3"/>
    <n v="81"/>
    <n v="95"/>
    <n v="90"/>
    <n v="3114"/>
    <n v="104"/>
    <n v="171"/>
    <n v="1382"/>
    <n v="401"/>
    <n v="1906"/>
  </r>
  <r>
    <x v="8"/>
    <x v="1"/>
    <x v="8"/>
    <x v="8"/>
    <x v="8"/>
    <s v="FPS;RPG;Horror"/>
    <s v="PC;Xbox One;Playstation 4"/>
    <n v="12"/>
    <x v="1"/>
    <n v="76"/>
    <n v="86"/>
    <n v="80"/>
    <n v="647"/>
    <n v="40"/>
    <n v="68"/>
    <n v="985"/>
    <n v="635"/>
    <n v="646"/>
  </r>
  <r>
    <x v="9"/>
    <x v="0"/>
    <x v="9"/>
    <x v="9"/>
    <x v="9"/>
    <s v="Akční;RPG"/>
    <s v="PC;Xbox One;Playstation 4"/>
    <n v="16.5"/>
    <x v="1"/>
    <n v="71"/>
    <n v="76"/>
    <n v="80"/>
    <n v="3776"/>
    <n v="217"/>
    <n v="264"/>
    <n v="1092"/>
    <n v="1191"/>
    <n v="667"/>
  </r>
  <r>
    <x v="10"/>
    <x v="0"/>
    <x v="10"/>
    <x v="10"/>
    <x v="10"/>
    <s v="Adventura"/>
    <s v="Playstation 4"/>
    <n v="11.5"/>
    <x v="1"/>
    <s v="-"/>
    <s v="-"/>
    <n v="92"/>
    <s v="-"/>
    <s v="-"/>
    <n v="107"/>
    <s v="-"/>
    <s v="-"/>
    <n v="1546"/>
  </r>
  <r>
    <x v="11"/>
    <x v="0"/>
    <x v="11"/>
    <x v="3"/>
    <x v="11"/>
    <s v="FPS;Otevřený svět;RPG"/>
    <s v="PC;Xbox One;Playstation 4"/>
    <n v="17.5"/>
    <x v="1"/>
    <n v="68"/>
    <n v="68"/>
    <n v="88"/>
    <n v="25031"/>
    <n v="419"/>
    <n v="2136"/>
    <n v="1755"/>
    <n v="480"/>
    <n v="745"/>
  </r>
  <r>
    <x v="12"/>
    <x v="0"/>
    <x v="12"/>
    <x v="11"/>
    <x v="12"/>
    <s v="Adventura"/>
    <s v="PC"/>
    <n v="2"/>
    <x v="4"/>
    <n v="86"/>
    <s v="-"/>
    <s v="-"/>
    <n v="674"/>
    <s v="-"/>
    <s v="-"/>
    <n v="1993"/>
    <s v="-"/>
    <s v="-"/>
  </r>
  <r>
    <x v="13"/>
    <x v="0"/>
    <x v="13"/>
    <x v="12"/>
    <x v="13"/>
    <s v="Strategie;Simulace"/>
    <s v="PC"/>
    <n v="9.5"/>
    <x v="1"/>
    <n v="87"/>
    <s v="-"/>
    <s v="-"/>
    <n v="17775"/>
    <s v="-"/>
    <s v="-"/>
    <n v="378"/>
    <s v="-"/>
    <s v="-"/>
  </r>
  <r>
    <x v="14"/>
    <x v="0"/>
    <x v="14"/>
    <x v="6"/>
    <x v="14"/>
    <s v="Akční;Adventura"/>
    <s v="Playstation 4"/>
    <n v="19.5"/>
    <x v="1"/>
    <s v="-"/>
    <s v="-"/>
    <n v="100"/>
    <s v="-"/>
    <s v="-"/>
    <n v="4079"/>
    <s v="-"/>
    <s v="-"/>
    <n v="697"/>
  </r>
  <r>
    <x v="15"/>
    <x v="0"/>
    <x v="15"/>
    <x v="13"/>
    <x v="15"/>
    <s v="Akční;Horror"/>
    <s v="PC;Xbox One;Playstation 4"/>
    <n v="21"/>
    <x v="1"/>
    <n v="70"/>
    <n v="74"/>
    <n v="70"/>
    <n v="3389"/>
    <n v="468"/>
    <n v="42"/>
    <n v="474"/>
    <n v="617"/>
    <n v="305"/>
  </r>
  <r>
    <x v="16"/>
    <x v="0"/>
    <x v="16"/>
    <x v="14"/>
    <x v="16"/>
    <s v="RTS;RPG"/>
    <s v="PC"/>
    <n v="35"/>
    <x v="1"/>
    <n v="81"/>
    <s v="-"/>
    <s v="-"/>
    <n v="2732"/>
    <s v="-"/>
    <s v="-"/>
    <n v="1946"/>
    <s v="-"/>
    <s v="-"/>
  </r>
  <r>
    <x v="17"/>
    <x v="0"/>
    <x v="17"/>
    <x v="15"/>
    <x v="17"/>
    <s v="Akční;RPG;Otevřený svět"/>
    <s v="PC;Xbox One;Playstation 4"/>
    <n v="39.5"/>
    <x v="1"/>
    <n v="74"/>
    <n v="76"/>
    <n v="80"/>
    <n v="23297"/>
    <n v="429"/>
    <n v="839"/>
    <n v="1334"/>
    <n v="1502"/>
    <n v="471"/>
  </r>
  <r>
    <x v="18"/>
    <x v="0"/>
    <x v="18"/>
    <x v="0"/>
    <x v="18"/>
    <s v="Adventura;Platformer"/>
    <s v="Nintendo Switch"/>
    <n v="26.5"/>
    <x v="0"/>
    <s v="-"/>
    <s v="-"/>
    <s v="-"/>
    <s v="-"/>
    <s v="-"/>
    <s v="-"/>
    <s v="-"/>
    <s v="-"/>
    <s v="-"/>
  </r>
  <r>
    <x v="19"/>
    <x v="0"/>
    <x v="19"/>
    <x v="8"/>
    <x v="18"/>
    <s v="FPS"/>
    <s v="PC;Xbox One;Playstation 4;Nintendo Switch"/>
    <n v="10.5"/>
    <x v="1"/>
    <n v="69"/>
    <n v="76"/>
    <n v="86"/>
    <n v="8581"/>
    <n v="275"/>
    <n v="341"/>
    <n v="1458"/>
    <n v="839"/>
    <n v="543"/>
  </r>
  <r>
    <x v="20"/>
    <x v="0"/>
    <x v="11"/>
    <x v="3"/>
    <x v="18"/>
    <s v="Akční;Adventura;Otevřený svět"/>
    <s v="PC;Xbox One;Playstation 4"/>
    <n v="28"/>
    <x v="1"/>
    <n v="83"/>
    <n v="84"/>
    <n v="88"/>
    <n v="30651"/>
    <n v="451"/>
    <n v="5497"/>
    <n v="1372"/>
    <n v="1082"/>
    <n v="1952"/>
  </r>
  <r>
    <x v="21"/>
    <x v="0"/>
    <x v="20"/>
    <x v="8"/>
    <x v="19"/>
    <s v="Akční;Horror"/>
    <s v="PC;Xbox One;Playstation 4"/>
    <n v="13.5"/>
    <x v="1"/>
    <n v="91"/>
    <n v="94"/>
    <n v="90"/>
    <n v="4716"/>
    <n v="277"/>
    <n v="231"/>
    <n v="1212"/>
    <n v="1797"/>
    <n v="1224"/>
  </r>
  <r>
    <x v="22"/>
    <x v="0"/>
    <x v="21"/>
    <x v="16"/>
    <x v="20"/>
    <s v="Akční;Adventura;RPG"/>
    <s v="PC;Xbox One;Playstation 4"/>
    <n v="20.5"/>
    <x v="1"/>
    <n v="77"/>
    <n v="74"/>
    <n v="88"/>
    <n v="14692"/>
    <n v="675"/>
    <n v="1947"/>
    <n v="744"/>
    <n v="594"/>
    <n v="1538"/>
  </r>
  <r>
    <x v="23"/>
    <x v="0"/>
    <x v="22"/>
    <x v="4"/>
    <x v="21"/>
    <s v="Závodní;Simulace"/>
    <s v="PC;Xbox One"/>
    <n v="30"/>
    <x v="3"/>
    <n v="96"/>
    <n v="96"/>
    <s v="-"/>
    <s v="3 427"/>
    <n v="3228"/>
    <s v="-"/>
    <n v="1214"/>
    <n v="1107"/>
    <s v="-"/>
  </r>
  <r>
    <x v="24"/>
    <x v="0"/>
    <x v="23"/>
    <x v="17"/>
    <x v="22"/>
    <s v="Akční;Platformer"/>
    <s v="PC;Xbox One"/>
    <n v="9"/>
    <x v="0"/>
    <n v="95"/>
    <n v="86"/>
    <s v="-"/>
    <n v="33595"/>
    <n v="788"/>
    <s v="-"/>
    <n v="819"/>
    <n v="1473"/>
    <s v="-"/>
  </r>
  <r>
    <x v="25"/>
    <x v="0"/>
    <x v="8"/>
    <x v="8"/>
    <x v="23"/>
    <s v="Akční;RPG;Stealth"/>
    <s v="PC;Xbox One;Playstation 4"/>
    <n v="6.5"/>
    <x v="1"/>
    <n v="83"/>
    <n v="84"/>
    <n v="88"/>
    <n v="2163"/>
    <n v="96"/>
    <n v="246"/>
    <n v="1437"/>
    <n v="1424"/>
    <n v="1989"/>
  </r>
  <r>
    <x v="26"/>
    <x v="0"/>
    <x v="24"/>
    <x v="18"/>
    <x v="24"/>
    <s v="Adventura"/>
    <s v="PC;Playstation 4;Nintendo Switch"/>
    <n v="3"/>
    <x v="3"/>
    <n v="91"/>
    <s v="-"/>
    <n v="88"/>
    <n v="932"/>
    <s v="-"/>
    <n v="318"/>
    <n v="621"/>
    <s v="-"/>
    <n v="519"/>
  </r>
  <r>
    <x v="27"/>
    <x v="0"/>
    <x v="25"/>
    <x v="6"/>
    <x v="25"/>
    <s v="Akční;Adventura"/>
    <s v="Playstation 4"/>
    <n v="7"/>
    <x v="2"/>
    <s v="-"/>
    <s v="-"/>
    <n v="98"/>
    <s v="-"/>
    <s v="-"/>
    <n v="1673"/>
    <s v="-"/>
    <s v="-"/>
    <n v="1797"/>
  </r>
  <r>
    <x v="28"/>
    <x v="0"/>
    <x v="26"/>
    <x v="19"/>
    <x v="26"/>
    <s v="Adventura"/>
    <s v="PC;Xbox One;Playstation 4"/>
    <n v="6.5"/>
    <x v="1"/>
    <n v="82"/>
    <n v="76"/>
    <n v="90"/>
    <n v="1986"/>
    <n v="183"/>
    <n v="593"/>
    <n v="947"/>
    <n v="1000"/>
    <n v="1688"/>
  </r>
  <r>
    <x v="29"/>
    <x v="0"/>
    <x v="27"/>
    <x v="20"/>
    <x v="27"/>
    <s v="Akční;Adventura;Hack and Slash"/>
    <s v="PC;Xbox One;Playstation 4"/>
    <n v="7"/>
    <x v="1"/>
    <n v="91"/>
    <n v="94"/>
    <n v="90"/>
    <n v="18757"/>
    <n v="323"/>
    <n v="8653"/>
    <n v="651"/>
    <n v="411"/>
    <n v="945"/>
  </r>
  <r>
    <x v="30"/>
    <x v="1"/>
    <x v="28"/>
    <x v="21"/>
    <x v="28"/>
    <s v="RPG;Strategie"/>
    <s v="PC;Xbox One;Playstation 4;Nintendo Switch"/>
    <n v="12"/>
    <x v="2"/>
    <n v="67"/>
    <n v="88"/>
    <n v="98"/>
    <n v="963"/>
    <n v="9"/>
    <n v="86"/>
    <n v="714"/>
    <n v="324"/>
    <n v="561"/>
  </r>
  <r>
    <x v="31"/>
    <x v="0"/>
    <x v="29"/>
    <x v="9"/>
    <x v="29"/>
    <s v="Akční;RPG"/>
    <s v="PC;Xbox One;Playstation 4"/>
    <n v="20.5"/>
    <x v="1"/>
    <n v="74"/>
    <n v="74"/>
    <n v="80"/>
    <n v="2910"/>
    <n v="227"/>
    <n v="1785"/>
    <n v="1541"/>
    <n v="1435"/>
    <n v="1098"/>
  </r>
  <r>
    <x v="32"/>
    <x v="0"/>
    <x v="30"/>
    <x v="22"/>
    <x v="30"/>
    <s v="Adventura"/>
    <s v="PC;Xbox One;Playstation 4;Nintendo Switch"/>
    <n v="11"/>
    <x v="2"/>
    <n v="93"/>
    <n v="94"/>
    <n v="98"/>
    <n v="1521"/>
    <n v="201"/>
    <n v="223"/>
    <n v="443"/>
    <n v="1092"/>
    <n v="1896"/>
  </r>
  <r>
    <x v="33"/>
    <x v="0"/>
    <x v="31"/>
    <x v="5"/>
    <x v="31"/>
    <s v="Akční;RPG"/>
    <s v="PC;Xbox One;Playstation 4"/>
    <n v="20.5"/>
    <x v="1"/>
    <n v="84"/>
    <n v="98"/>
    <n v="98"/>
    <n v="29536"/>
    <n v="321"/>
    <n v="2130"/>
    <n v="1646"/>
    <n v="929"/>
    <n v="1082"/>
  </r>
  <r>
    <x v="34"/>
    <x v="0"/>
    <x v="8"/>
    <x v="8"/>
    <x v="32"/>
    <s v="FPS;RPG;Horror"/>
    <s v="PC;Xbox One;Playstation 4"/>
    <n v="16"/>
    <x v="1"/>
    <n v="88"/>
    <n v="86"/>
    <n v="80"/>
    <n v="10600"/>
    <n v="292"/>
    <n v="208"/>
    <n v="1297"/>
    <n v="1788"/>
    <n v="1556"/>
  </r>
  <r>
    <x v="35"/>
    <x v="0"/>
    <x v="32"/>
    <x v="23"/>
    <x v="33"/>
    <s v="Akční;RPG;Adventura;Otevřený svět"/>
    <s v="Nintendo Switch;Wii U"/>
    <n v="47"/>
    <x v="0"/>
    <s v="-"/>
    <s v="-"/>
    <s v="-"/>
    <s v="-"/>
    <s v="-"/>
    <s v="-"/>
    <s v="-"/>
    <s v="-"/>
    <s v="-"/>
  </r>
  <r>
    <x v="36"/>
    <x v="0"/>
    <x v="33"/>
    <x v="24"/>
    <x v="34"/>
    <s v="Adventura;Platformer"/>
    <s v="PC;Xbox One;Playstation 4;Nintendo Switch"/>
    <n v="3.5"/>
    <x v="2"/>
    <n v="88"/>
    <n v="92"/>
    <n v="90"/>
    <n v="5544"/>
    <n v="244"/>
    <n v="2880"/>
    <n v="339"/>
    <n v="397"/>
    <n v="650"/>
  </r>
  <r>
    <x v="37"/>
    <x v="0"/>
    <x v="34"/>
    <x v="25"/>
    <x v="35"/>
    <s v="Adventura"/>
    <s v="PC;Xbox One;Playstation 4"/>
    <n v="2"/>
    <x v="2"/>
    <n v="95"/>
    <n v="94"/>
    <n v="100"/>
    <n v="8693"/>
    <n v="221"/>
    <n v="1808"/>
    <n v="1568"/>
    <n v="740"/>
    <n v="935"/>
  </r>
  <r>
    <x v="38"/>
    <x v="0"/>
    <x v="35"/>
    <x v="26"/>
    <x v="36"/>
    <s v="Simulace;RPG"/>
    <s v="Playstation 4;PlayStation 3"/>
    <n v="97"/>
    <x v="1"/>
    <s v="-"/>
    <s v="-"/>
    <n v="98"/>
    <s v="-"/>
    <s v="-"/>
    <n v="5079"/>
    <s v="-"/>
    <s v="-"/>
    <n v="622"/>
  </r>
  <r>
    <x v="39"/>
    <x v="0"/>
    <x v="36"/>
    <x v="27"/>
    <x v="37"/>
    <s v="Akční;Adventura;Platformer;RPG"/>
    <s v="PC;Xbox One;Playstation 4;Nintendo Switch"/>
    <n v="22"/>
    <x v="0"/>
    <n v="95"/>
    <n v="94"/>
    <n v="98"/>
    <n v="31366"/>
    <n v="188"/>
    <n v="384"/>
    <n v="648"/>
    <n v="1564"/>
    <n v="1680"/>
  </r>
  <r>
    <x v="40"/>
    <x v="1"/>
    <x v="4"/>
    <x v="4"/>
    <x v="38"/>
    <s v="Závodní;Otevřený svět"/>
    <s v="PC;Xbox One"/>
    <n v="5"/>
    <x v="3"/>
    <n v="78"/>
    <n v="78"/>
    <s v="-"/>
    <n v="561"/>
    <n v="250"/>
    <s v="-"/>
    <n v="733"/>
    <n v="1499"/>
    <s v="-"/>
  </r>
  <r>
    <x v="41"/>
    <x v="0"/>
    <x v="37"/>
    <x v="4"/>
    <x v="39"/>
    <s v="Akční;Adventura"/>
    <s v="PC;Xbox One;Playstation 4"/>
    <n v="10.5"/>
    <x v="1"/>
    <n v="49"/>
    <n v="64"/>
    <n v="90"/>
    <n v="1133"/>
    <n v="459"/>
    <n v="445"/>
    <n v="912"/>
    <n v="950"/>
    <n v="1561"/>
  </r>
  <r>
    <x v="42"/>
    <x v="0"/>
    <x v="38"/>
    <x v="5"/>
    <x v="40"/>
    <s v="Akční;RPG;Adventura;Otevřený svět"/>
    <s v="PC;Xbox One;Playstation 4"/>
    <n v="26.5"/>
    <x v="2"/>
    <n v="78"/>
    <n v="76"/>
    <n v="90"/>
    <n v="11084"/>
    <n v="66"/>
    <n v="513"/>
    <n v="317"/>
    <n v="841"/>
    <n v="1622"/>
  </r>
  <r>
    <x v="43"/>
    <x v="0"/>
    <x v="11"/>
    <x v="3"/>
    <x v="41"/>
    <s v="Akční;Adventura;Otevřený svět"/>
    <s v="PC;Xbox One;Playstation 4"/>
    <n v="19"/>
    <x v="1"/>
    <n v="80"/>
    <n v="76"/>
    <n v="92"/>
    <n v="20720"/>
    <n v="442"/>
    <n v="21207"/>
    <n v="1260"/>
    <n v="814"/>
    <n v="1942"/>
  </r>
  <r>
    <x v="44"/>
    <x v="0"/>
    <x v="8"/>
    <x v="8"/>
    <x v="42"/>
    <s v="Akční;RPG;Stealth"/>
    <s v="PC;Xbox One;Playstation 4"/>
    <n v="13"/>
    <x v="1"/>
    <n v="79"/>
    <n v="84"/>
    <n v="90"/>
    <n v="13416"/>
    <n v="323"/>
    <n v="2347"/>
    <n v="738"/>
    <n v="1111"/>
    <n v="725"/>
  </r>
  <r>
    <x v="45"/>
    <x v="0"/>
    <x v="39"/>
    <x v="28"/>
    <x v="43"/>
    <s v="Adventura;Strategie"/>
    <s v="PC"/>
    <n v="6"/>
    <x v="2"/>
    <n v="90"/>
    <s v="-"/>
    <s v="-"/>
    <n v="8413"/>
    <s v="-"/>
    <s v="-"/>
    <n v="861"/>
    <s v="-"/>
    <s v="-"/>
  </r>
  <r>
    <x v="46"/>
    <x v="0"/>
    <x v="40"/>
    <x v="4"/>
    <x v="44"/>
    <s v="Akční;Adventura"/>
    <s v="PC;Xbox One"/>
    <n v="9"/>
    <x v="1"/>
    <n v="82"/>
    <n v="82"/>
    <s v="-"/>
    <n v="2552"/>
    <n v="2691"/>
    <s v="-"/>
    <n v="426"/>
    <n v="1060"/>
    <s v="-"/>
  </r>
  <r>
    <x v="47"/>
    <x v="0"/>
    <x v="4"/>
    <x v="4"/>
    <x v="45"/>
    <s v="Závodní;Otevřený svět"/>
    <s v="PC;Xbox One"/>
    <n v="17.5"/>
    <x v="3"/>
    <n v="82"/>
    <n v="82"/>
    <s v="-"/>
    <n v="3411"/>
    <n v="2000"/>
    <s v="-"/>
    <n v="920"/>
    <n v="1969"/>
    <s v="-"/>
  </r>
  <r>
    <x v="48"/>
    <x v="0"/>
    <x v="41"/>
    <x v="4"/>
    <x v="46"/>
    <s v="Akční;Adventura"/>
    <s v="PC;Xbox One"/>
    <n v="13"/>
    <x v="2"/>
    <n v="62"/>
    <n v="76"/>
    <s v="-"/>
    <n v="639"/>
    <n v="899"/>
    <s v="-"/>
    <n v="326"/>
    <n v="1226"/>
    <s v="-"/>
  </r>
  <r>
    <x v="49"/>
    <x v="0"/>
    <x v="42"/>
    <x v="29"/>
    <x v="47"/>
    <s v="Adventura;Platformer"/>
    <s v="PC;Xbox One;Playstation 4;Nintendo Switch"/>
    <n v="3.5"/>
    <x v="1"/>
    <n v="95"/>
    <n v="94"/>
    <n v="90"/>
    <n v="16346"/>
    <n v="576"/>
    <n v="6482"/>
    <n v="765"/>
    <n v="346"/>
    <n v="840"/>
  </r>
  <r>
    <x v="50"/>
    <x v="1"/>
    <x v="43"/>
    <x v="8"/>
    <x v="48"/>
    <s v="Akční;RPG;Adventura;Otevřený svět;FPS"/>
    <s v="PC;Xbox One;Playstation 4"/>
    <n v="7"/>
    <x v="1"/>
    <n v="84"/>
    <n v="90"/>
    <n v="90"/>
    <n v="1864"/>
    <n v="618"/>
    <n v="6933"/>
    <n v="455"/>
    <n v="1148"/>
    <n v="489"/>
  </r>
  <r>
    <x v="51"/>
    <x v="1"/>
    <x v="2"/>
    <x v="2"/>
    <x v="49"/>
    <s v="Akční;RPG;Adventura;Otevřený svět"/>
    <s v="PC;Xbox One;Playstation 4"/>
    <n v="16.3"/>
    <x v="1"/>
    <n v="99"/>
    <n v="98"/>
    <n v="99"/>
    <n v="4907"/>
    <n v="338"/>
    <n v="11945"/>
    <n v="1015"/>
    <n v="896"/>
    <n v="910"/>
  </r>
  <r>
    <x v="52"/>
    <x v="0"/>
    <x v="44"/>
    <x v="4"/>
    <x v="50"/>
    <s v="Platformer;RPG"/>
    <s v="PC;Xbox One"/>
    <n v="8.5"/>
    <x v="3"/>
    <n v="96"/>
    <n v="94"/>
    <s v="-"/>
    <n v="12731"/>
    <n v="364"/>
    <s v="-"/>
    <n v="1249"/>
    <n v="317"/>
    <s v="-"/>
  </r>
  <r>
    <x v="53"/>
    <x v="0"/>
    <x v="25"/>
    <x v="6"/>
    <x v="51"/>
    <s v="Akční;Adventura"/>
    <s v="Playstation 4"/>
    <n v="15"/>
    <x v="2"/>
    <s v="-"/>
    <s v="-"/>
    <n v="98"/>
    <s v="-"/>
    <s v="-"/>
    <n v="4870"/>
    <s v="-"/>
    <s v="-"/>
    <n v="556"/>
  </r>
  <r>
    <x v="54"/>
    <x v="0"/>
    <x v="45"/>
    <x v="14"/>
    <x v="52"/>
    <s v="RPG;Strategie"/>
    <s v="PC;Xbox One;Playstation 4;Nintendo Switch"/>
    <n v="12"/>
    <x v="2"/>
    <n v="91"/>
    <n v="70"/>
    <n v="90"/>
    <n v="1413"/>
    <n v="306"/>
    <n v="254"/>
    <n v="1918"/>
    <n v="1261"/>
    <n v="1661"/>
  </r>
  <r>
    <x v="55"/>
    <x v="0"/>
    <x v="46"/>
    <x v="4"/>
    <x v="53"/>
    <s v="Akční;Adventura"/>
    <s v="PC;Xbox One"/>
    <n v="10"/>
    <x v="1"/>
    <n v="84"/>
    <n v="82"/>
    <s v="-"/>
    <n v="7768"/>
    <n v="2001"/>
    <s v="-"/>
    <n v="1710"/>
    <n v="1887"/>
    <s v="-"/>
  </r>
  <r>
    <x v="56"/>
    <x v="0"/>
    <x v="47"/>
    <x v="30"/>
    <x v="54"/>
    <s v="RPG;Simulace"/>
    <s v="PC;Xbox One;Playstation 4;Nintendo Switch;Playstation Vita"/>
    <n v="49"/>
    <x v="0"/>
    <n v="97"/>
    <n v="94"/>
    <n v="88"/>
    <n v="95639"/>
    <n v="340"/>
    <n v="324"/>
    <n v="394"/>
    <n v="524"/>
    <n v="730"/>
  </r>
  <r>
    <x v="57"/>
    <x v="0"/>
    <x v="48"/>
    <x v="31"/>
    <x v="55"/>
    <s v="Akční;Adventura"/>
    <s v="Playstation 4"/>
    <n v="18"/>
    <x v="1"/>
    <s v="-"/>
    <s v="-"/>
    <n v="90"/>
    <s v="-"/>
    <s v="-"/>
    <n v="2641"/>
    <s v="-"/>
    <s v="-"/>
    <n v="461"/>
  </r>
  <r>
    <x v="58"/>
    <x v="0"/>
    <x v="49"/>
    <x v="32"/>
    <x v="56"/>
    <s v="Adventura"/>
    <s v="PC;Xbox One;Playstation 4;Nintendo Switch"/>
    <n v="4.5"/>
    <x v="2"/>
    <n v="93"/>
    <n v="94"/>
    <n v="90"/>
    <n v="5196"/>
    <n v="388"/>
    <n v="1094"/>
    <n v="415"/>
    <n v="1732"/>
    <n v="791"/>
  </r>
  <r>
    <x v="59"/>
    <x v="0"/>
    <x v="3"/>
    <x v="3"/>
    <x v="57"/>
    <s v="Akční;Adventura;Otevřený svět"/>
    <s v="PC;Xbox One;Playstation 4"/>
    <n v="18"/>
    <x v="1"/>
    <n v="75"/>
    <n v="72"/>
    <n v="86"/>
    <n v="8004"/>
    <n v="682"/>
    <n v="8169"/>
    <n v="1821"/>
    <n v="1393"/>
    <n v="595"/>
  </r>
  <r>
    <x v="60"/>
    <x v="0"/>
    <x v="43"/>
    <x v="8"/>
    <x v="58"/>
    <s v="Akční;RPG;Adventura;Otevřený svět;FPS"/>
    <s v="PC;Xbox One;Playstation 4"/>
    <n v="27"/>
    <x v="1"/>
    <n v="70"/>
    <n v="74"/>
    <n v="90"/>
    <n v="87213"/>
    <n v="2002"/>
    <n v="10796"/>
    <n v="1488"/>
    <n v="1308"/>
    <n v="992"/>
  </r>
  <r>
    <x v="61"/>
    <x v="0"/>
    <x v="50"/>
    <x v="5"/>
    <x v="58"/>
    <s v="Akční;Adventura"/>
    <s v="PC;Xbox One;Playstation 4"/>
    <n v="13.5"/>
    <x v="1"/>
    <n v="92"/>
    <n v="92"/>
    <n v="88"/>
    <n v="34084"/>
    <n v="1212"/>
    <n v="12590"/>
    <n v="1944"/>
    <n v="488"/>
    <n v="1653"/>
  </r>
  <r>
    <x v="62"/>
    <x v="0"/>
    <x v="51"/>
    <x v="33"/>
    <x v="59"/>
    <s v="Strategie"/>
    <s v="PC;Xbox One"/>
    <n v="8.5"/>
    <x v="0"/>
    <n v="86"/>
    <n v="82"/>
    <s v="-"/>
    <n v="3814"/>
    <n v="211"/>
    <s v="-"/>
    <n v="750"/>
    <n v="1807"/>
    <s v="-"/>
  </r>
  <r>
    <x v="63"/>
    <x v="1"/>
    <x v="2"/>
    <x v="2"/>
    <x v="60"/>
    <s v="Akční;RPG;Adventura;Otevřený svět"/>
    <s v="PC;Xbox One;Playstation 4"/>
    <n v="10"/>
    <x v="1"/>
    <n v="97"/>
    <n v="96"/>
    <n v="99"/>
    <n v="3201"/>
    <n v="1965"/>
    <n v="16322"/>
    <n v="1253"/>
    <n v="821"/>
    <n v="982"/>
  </r>
  <r>
    <x v="64"/>
    <x v="0"/>
    <x v="22"/>
    <x v="4"/>
    <x v="61"/>
    <s v="Závodní;Simulace"/>
    <s v="Xbox One"/>
    <n v="24"/>
    <x v="3"/>
    <s v="-"/>
    <n v="84"/>
    <s v="-"/>
    <s v="-"/>
    <n v="765"/>
    <s v="-"/>
    <s v="-"/>
    <n v="737"/>
    <s v="-"/>
  </r>
  <r>
    <x v="65"/>
    <x v="0"/>
    <x v="52"/>
    <x v="34"/>
    <x v="62"/>
    <s v="Akční;Adventura;Otevřený svět"/>
    <s v="PC;Xbox One;Playstation 4"/>
    <n v="19.5"/>
    <x v="1"/>
    <n v="89"/>
    <n v="86"/>
    <n v="90"/>
    <n v="21712"/>
    <n v="673"/>
    <n v="13098"/>
    <n v="827"/>
    <n v="598"/>
    <n v="1973"/>
  </r>
  <r>
    <x v="66"/>
    <x v="0"/>
    <x v="2"/>
    <x v="34"/>
    <x v="63"/>
    <s v="Akční;RPG;Adventura;Otevřený svět"/>
    <s v="PC;Xbox One;Playstation 4"/>
    <n v="51"/>
    <x v="1"/>
    <n v="97"/>
    <n v="98"/>
    <n v="99"/>
    <n v="164241"/>
    <n v="2000"/>
    <n v="11018"/>
    <n v="1811"/>
    <n v="1570"/>
    <n v="1714"/>
  </r>
  <r>
    <x v="67"/>
    <x v="0"/>
    <x v="19"/>
    <x v="8"/>
    <x v="64"/>
    <s v="FPS"/>
    <s v="PC;Xbox One;Playstation 4"/>
    <n v="6"/>
    <x v="1"/>
    <n v="88"/>
    <n v="90"/>
    <n v="86"/>
    <n v="4745"/>
    <n v="385"/>
    <n v="5324"/>
    <n v="355"/>
    <n v="658"/>
    <n v="1716"/>
  </r>
  <r>
    <x v="68"/>
    <x v="0"/>
    <x v="53"/>
    <x v="10"/>
    <x v="65"/>
    <s v="Akční;RPG"/>
    <s v="Playstation 4"/>
    <n v="35.5"/>
    <x v="1"/>
    <s v="-"/>
    <s v="-"/>
    <n v="92"/>
    <s v="-"/>
    <s v="-"/>
    <n v="36619"/>
    <s v="-"/>
    <s v="-"/>
    <n v="619"/>
  </r>
  <r>
    <x v="69"/>
    <x v="0"/>
    <x v="54"/>
    <x v="35"/>
    <x v="66"/>
    <s v="Akční"/>
    <s v="PC;Playstation 4;Playstation 3;Playstation Vita"/>
    <n v="9"/>
    <x v="1"/>
    <n v="91"/>
    <s v="-"/>
    <n v="90"/>
    <n v="19555"/>
    <s v="-"/>
    <n v="5997"/>
    <n v="394"/>
    <s v="-"/>
    <n v="1918"/>
  </r>
  <r>
    <x v="70"/>
    <x v="0"/>
    <x v="55"/>
    <x v="10"/>
    <x v="67"/>
    <s v="Akční;Adventura"/>
    <s v="Playstation 4"/>
    <n v="7"/>
    <x v="1"/>
    <s v="-"/>
    <s v="-"/>
    <n v="88"/>
    <s v="-"/>
    <s v="-"/>
    <n v="13943"/>
    <s v="-"/>
    <s v="-"/>
    <n v="1584"/>
  </r>
  <r>
    <x v="71"/>
    <x v="0"/>
    <x v="28"/>
    <x v="21"/>
    <x v="68"/>
    <s v="RPG;Strategie"/>
    <s v="PC;Xbox One;Playstation 4;Nintendo Switch"/>
    <n v="54"/>
    <x v="2"/>
    <n v="85"/>
    <n v="94"/>
    <n v="90"/>
    <n v="39952"/>
    <n v="83"/>
    <n v="2909"/>
    <n v="1706"/>
    <n v="627"/>
    <n v="1976"/>
  </r>
  <r>
    <x v="72"/>
    <x v="0"/>
    <x v="9"/>
    <x v="5"/>
    <x v="69"/>
    <s v="Adventura"/>
    <s v="PC;Xbox One;Playstation 4;Xbox 360;PlayStation 3"/>
    <n v="14"/>
    <x v="1"/>
    <n v="96"/>
    <n v="94"/>
    <n v="90"/>
    <n v="119422"/>
    <n v="719"/>
    <n v="23597"/>
    <n v="1521"/>
    <n v="1084"/>
    <n v="577"/>
  </r>
  <r>
    <x v="73"/>
    <x v="0"/>
    <x v="56"/>
    <x v="16"/>
    <x v="70"/>
    <s v="Akční;Adventura;Horror;Otevřený svět"/>
    <s v="PC;Xbox One;Playstation 4"/>
    <n v="18"/>
    <x v="1"/>
    <n v="92"/>
    <n v="86"/>
    <n v="90"/>
    <n v="53908"/>
    <n v="1371"/>
    <n v="25482"/>
    <n v="725"/>
    <n v="616"/>
    <n v="1581"/>
  </r>
  <r>
    <x v="74"/>
    <x v="0"/>
    <x v="57"/>
    <x v="36"/>
    <x v="71"/>
    <s v="Adventura"/>
    <s v="PC;Xbox One;Playstation 4;Xbox 360;PlayStation 3"/>
    <n v="10.5"/>
    <x v="1"/>
    <n v="95"/>
    <n v="94"/>
    <n v="90"/>
    <n v="11510"/>
    <n v="729"/>
    <n v="22291"/>
    <n v="1615"/>
    <n v="1854"/>
    <n v="1288"/>
  </r>
  <r>
    <x v="75"/>
    <x v="0"/>
    <x v="11"/>
    <x v="3"/>
    <x v="72"/>
    <s v="FPS;Otevřený svět;RPG"/>
    <s v="PC;Xbox One;Playstation 4;Xbox 360;PlayStation 3"/>
    <n v="17.5"/>
    <x v="1"/>
    <n v="77"/>
    <n v="86"/>
    <n v="90"/>
    <n v="18019"/>
    <n v="1075"/>
    <n v="34240"/>
    <n v="1883"/>
    <n v="1419"/>
    <n v="480"/>
  </r>
  <r>
    <x v="76"/>
    <x v="0"/>
    <x v="13"/>
    <x v="12"/>
    <x v="73"/>
    <s v="Adventura"/>
    <s v="PC;Xbox One;Playstation 4"/>
    <n v="10.5"/>
    <x v="1"/>
    <n v="95"/>
    <n v="86"/>
    <n v="90"/>
    <n v="41001"/>
    <n v="266"/>
    <n v="10974"/>
    <n v="576"/>
    <n v="1353"/>
    <n v="1090"/>
  </r>
  <r>
    <x v="77"/>
    <x v="0"/>
    <x v="58"/>
    <x v="3"/>
    <x v="74"/>
    <s v="Akční;Adventura;Otevřený svět"/>
    <s v="PC;Xbox One;Playstation 4;Xbox 360;PlayStation 3"/>
    <n v="10.5"/>
    <x v="1"/>
    <n v="80"/>
    <n v="92"/>
    <n v="90"/>
    <n v="4542"/>
    <n v="144"/>
    <n v="394"/>
    <n v="1965"/>
    <n v="1989"/>
    <n v="875"/>
  </r>
  <r>
    <x v="78"/>
    <x v="0"/>
    <x v="11"/>
    <x v="3"/>
    <x v="74"/>
    <s v="Akční;Adventura;Otevřený svět"/>
    <s v="PC;Xbox One;Playstation 4"/>
    <n v="17"/>
    <x v="1"/>
    <n v="59"/>
    <n v="76"/>
    <n v="80"/>
    <n v="15713"/>
    <n v="1811"/>
    <n v="15013"/>
    <n v="643"/>
    <n v="403"/>
    <n v="476"/>
  </r>
  <r>
    <x v="79"/>
    <x v="0"/>
    <x v="6"/>
    <x v="4"/>
    <x v="75"/>
    <s v="Akční"/>
    <s v="PC;Xbox One"/>
    <n v="10.5"/>
    <x v="1"/>
    <n v="90"/>
    <n v="86"/>
    <s v="-"/>
    <n v="1477"/>
    <n v="1495"/>
    <s v="-"/>
    <n v="697"/>
    <n v="1154"/>
    <s v="-"/>
  </r>
  <r>
    <x v="80"/>
    <x v="0"/>
    <x v="20"/>
    <x v="8"/>
    <x v="76"/>
    <s v="Akční;Horror"/>
    <s v="PC;Xbox One;Playstation 4;Xbox 360;PlayStation 3"/>
    <n v="16"/>
    <x v="1"/>
    <n v="80"/>
    <n v="86"/>
    <n v="90"/>
    <n v="7469"/>
    <n v="629"/>
    <n v="7396"/>
    <n v="1165"/>
    <n v="417"/>
    <n v="1819"/>
  </r>
  <r>
    <x v="81"/>
    <x v="0"/>
    <x v="59"/>
    <x v="31"/>
    <x v="77"/>
    <s v="Horror;Stealth"/>
    <s v="PC;Xbox One;Playstation 4;Xbox 360;PlayStation 3"/>
    <n v="18.5"/>
    <x v="1"/>
    <n v="91"/>
    <n v="88"/>
    <n v="92"/>
    <n v="16753"/>
    <n v="638"/>
    <n v="11015"/>
    <n v="1807"/>
    <n v="1010"/>
    <n v="473"/>
  </r>
  <r>
    <x v="82"/>
    <x v="0"/>
    <x v="4"/>
    <x v="4"/>
    <x v="78"/>
    <s v="Závodní;Otevřený svět"/>
    <s v="Xbox One;Xbox 360"/>
    <n v="19"/>
    <x v="0"/>
    <s v="-"/>
    <n v="82"/>
    <s v="-"/>
    <s v="-"/>
    <n v="1144"/>
    <s v="-"/>
    <s v="-"/>
    <n v="631"/>
    <s v="-"/>
  </r>
  <r>
    <x v="83"/>
    <x v="0"/>
    <x v="21"/>
    <x v="34"/>
    <x v="79"/>
    <s v="Akční;RPG;Otevřený svět"/>
    <s v="PC;Xbox One;Playstation 4;Xbox 360;PlayStation 3"/>
    <n v="16"/>
    <x v="1"/>
    <n v="91"/>
    <n v="86"/>
    <n v="90"/>
    <n v="34389"/>
    <n v="453"/>
    <n v="7136"/>
    <n v="1844"/>
    <n v="1813"/>
    <n v="1865"/>
  </r>
  <r>
    <x v="84"/>
    <x v="0"/>
    <x v="60"/>
    <x v="4"/>
    <x v="80"/>
    <s v="Akční;Adventura"/>
    <s v="PC;Xbox One"/>
    <n v="4.5"/>
    <x v="1"/>
    <n v="81"/>
    <n v="80"/>
    <s v="-"/>
    <n v="1375"/>
    <n v="586"/>
    <s v="-"/>
    <n v="993"/>
    <n v="775"/>
    <s v="-"/>
  </r>
  <r>
    <x v="85"/>
    <x v="0"/>
    <x v="61"/>
    <x v="3"/>
    <x v="81"/>
    <s v="Adventura"/>
    <s v="PC;Xbox One;Playstation 4;Xbox 360;PlayStation 3"/>
    <n v="6.5"/>
    <x v="2"/>
    <n v="95"/>
    <n v="92"/>
    <n v="90"/>
    <n v="13311"/>
    <n v="680"/>
    <n v="48045"/>
    <n v="1172"/>
    <n v="731"/>
    <n v="706"/>
  </r>
  <r>
    <x v="86"/>
    <x v="0"/>
    <x v="19"/>
    <x v="8"/>
    <x v="82"/>
    <s v="FPS"/>
    <s v="PC;Xbox One;Playstation 4;Xbox 360;PlayStation 3"/>
    <n v="12"/>
    <x v="1"/>
    <n v="89"/>
    <n v="90"/>
    <n v="90"/>
    <n v="20049"/>
    <n v="994"/>
    <n v="9175"/>
    <n v="816"/>
    <n v="1706"/>
    <n v="497"/>
  </r>
  <r>
    <x v="87"/>
    <x v="1"/>
    <x v="62"/>
    <x v="37"/>
    <x v="83"/>
    <s v="Akční;Adventura;FPS"/>
    <s v="PC;Xbox One;Playstation 4;Xbox 360;PlayStation 3"/>
    <n v="4"/>
    <x v="1"/>
    <n v="87"/>
    <n v="86"/>
    <n v="97"/>
    <n v="802"/>
    <n v="328"/>
    <n v="975"/>
    <n v="1095"/>
    <n v="880"/>
    <n v="318"/>
  </r>
  <r>
    <x v="88"/>
    <x v="0"/>
    <x v="63"/>
    <x v="35"/>
    <x v="84"/>
    <s v="Akční;Platformer"/>
    <s v="PC;Playstation 4"/>
    <n v="7"/>
    <x v="1"/>
    <n v="96"/>
    <s v="-"/>
    <n v="90"/>
    <n v="24697"/>
    <s v="-"/>
    <n v="30168"/>
    <n v="1151"/>
    <s v="-"/>
    <n v="545"/>
  </r>
  <r>
    <x v="89"/>
    <x v="0"/>
    <x v="64"/>
    <x v="4"/>
    <x v="85"/>
    <s v="Akční;Adventura"/>
    <s v="PC;Xbox One"/>
    <n v="6.5"/>
    <x v="1"/>
    <n v="83"/>
    <n v="82"/>
    <s v="-"/>
    <n v="13003"/>
    <n v="1876"/>
    <s v="-"/>
    <n v="338"/>
    <n v="940"/>
    <s v="-"/>
  </r>
  <r>
    <x v="90"/>
    <x v="0"/>
    <x v="65"/>
    <x v="10"/>
    <x v="86"/>
    <s v="FPS"/>
    <s v="Playstation 4"/>
    <n v="10"/>
    <x v="1"/>
    <s v="-"/>
    <s v="-"/>
    <n v="80"/>
    <s v="-"/>
    <s v="-"/>
    <n v="12640"/>
    <s v="-"/>
    <s v="-"/>
    <n v="1517"/>
  </r>
  <r>
    <x v="91"/>
    <x v="1"/>
    <x v="62"/>
    <x v="37"/>
    <x v="87"/>
    <s v="Akční;Adventura;FPS"/>
    <s v="PC;Xbox One;Playstation 4;Xbox 360;PlayStation 3"/>
    <n v="2.2999999999999998"/>
    <x v="1"/>
    <n v="80"/>
    <n v="81"/>
    <n v="98"/>
    <n v="700"/>
    <n v="184"/>
    <n v="1348"/>
    <n v="1439"/>
    <n v="319"/>
    <n v="439"/>
  </r>
  <r>
    <x v="92"/>
    <x v="0"/>
    <x v="11"/>
    <x v="3"/>
    <x v="88"/>
    <s v="Akční;Adventura;Otevřený svět"/>
    <s v="PC;Xbox One;Playstation 4;Xbox 360;PlayStation 3"/>
    <n v="23"/>
    <x v="1"/>
    <n v="87"/>
    <n v="88"/>
    <n v="90"/>
    <n v="22716"/>
    <n v="2000"/>
    <n v="21091"/>
    <n v="1695"/>
    <n v="1440"/>
    <n v="1235"/>
  </r>
  <r>
    <x v="93"/>
    <x v="0"/>
    <x v="57"/>
    <x v="36"/>
    <x v="89"/>
    <s v="Adventura"/>
    <s v="PC;Xbox One;Playstation 4;Xbox 360;PlayStation 3;Playstation Vita"/>
    <n v="8.5"/>
    <x v="1"/>
    <n v="97"/>
    <n v="96"/>
    <n v="100"/>
    <n v="17276"/>
    <n v="703"/>
    <n v="7286"/>
    <n v="328"/>
    <n v="1367"/>
    <n v="1144"/>
  </r>
  <r>
    <x v="94"/>
    <x v="0"/>
    <x v="66"/>
    <x v="38"/>
    <x v="90"/>
    <s v="Akční;Adventura;Otevřený svět"/>
    <s v="PC;Xbox One;Playstation 4;Xbox 360;PlayStation 3"/>
    <n v="32"/>
    <x v="1"/>
    <n v="69"/>
    <n v="60"/>
    <n v="90"/>
    <n v="379093"/>
    <n v="4579"/>
    <n v="114958"/>
    <n v="1417"/>
    <n v="896"/>
    <n v="632"/>
  </r>
  <r>
    <x v="95"/>
    <x v="0"/>
    <x v="67"/>
    <x v="39"/>
    <x v="91"/>
    <s v="Horror"/>
    <s v="PC;Xbox One;Playstation 4;Nintendo Switch"/>
    <n v="5"/>
    <x v="1"/>
    <n v="96"/>
    <n v="90"/>
    <n v="94"/>
    <n v="29097"/>
    <n v="1316"/>
    <n v="65557"/>
    <n v="1593"/>
    <n v="1216"/>
    <n v="500"/>
  </r>
  <r>
    <x v="96"/>
    <x v="1"/>
    <x v="8"/>
    <x v="8"/>
    <x v="92"/>
    <s v="Akční;RPG;Stealth"/>
    <s v="PC;Xbox One;Playstation 4;Xbox 360;PlayStation 3"/>
    <n v="4"/>
    <x v="1"/>
    <n v="96"/>
    <n v="92"/>
    <n v="86"/>
    <n v="33"/>
    <n v="210"/>
    <n v="523"/>
    <n v="404"/>
    <n v="618"/>
    <n v="592"/>
  </r>
  <r>
    <x v="97"/>
    <x v="0"/>
    <x v="68"/>
    <x v="40"/>
    <x v="93"/>
    <s v="Strategie;Simulace"/>
    <s v="PC;iOS"/>
    <n v="5"/>
    <x v="1"/>
    <n v="95"/>
    <s v="-"/>
    <s v="-"/>
    <n v="22288"/>
    <s v="-"/>
    <s v="-"/>
    <n v="363"/>
    <s v="-"/>
    <s v="-"/>
  </r>
  <r>
    <x v="98"/>
    <x v="0"/>
    <x v="69"/>
    <x v="4"/>
    <x v="94"/>
    <s v="Horror"/>
    <s v="PC;Xbox One;Xbox 360"/>
    <n v="16.5"/>
    <x v="1"/>
    <n v="75"/>
    <n v="80"/>
    <s v="-"/>
    <n v="4123"/>
    <n v="451"/>
    <s v="-"/>
    <n v="382"/>
    <n v="619"/>
    <s v="-"/>
  </r>
  <r>
    <x v="99"/>
    <x v="0"/>
    <x v="70"/>
    <x v="41"/>
    <x v="95"/>
    <s v="Akční;Strategie"/>
    <s v="PC"/>
    <n v="3"/>
    <x v="4"/>
    <n v="97"/>
    <s v="-"/>
    <s v="-"/>
    <n v="7894"/>
    <s v="-"/>
    <s v="-"/>
    <n v="1762"/>
    <s v="-"/>
    <s v="-"/>
  </r>
  <r>
    <x v="100"/>
    <x v="0"/>
    <x v="71"/>
    <x v="42"/>
    <x v="96"/>
    <s v="Platformer;Logické"/>
    <s v="PC;Xbox One;Playstation 4;Playstation 3;Wii U"/>
    <n v="5"/>
    <x v="0"/>
    <n v="95"/>
    <n v="80"/>
    <n v="90"/>
    <n v="3601"/>
    <n v="224"/>
    <n v="6066"/>
    <n v="1473"/>
    <n v="350"/>
    <n v="1892"/>
  </r>
  <r>
    <x v="101"/>
    <x v="0"/>
    <x v="72"/>
    <x v="43"/>
    <x v="97"/>
    <s v="FPS"/>
    <s v="PC;Xbox One; Playstation 4;Xbox 360;Playstation 3"/>
    <n v="10"/>
    <x v="1"/>
    <n v="93"/>
    <n v="86"/>
    <n v="92"/>
    <n v="18280"/>
    <n v="454"/>
    <n v="4012"/>
    <n v="1927"/>
    <n v="655"/>
    <n v="1244"/>
  </r>
  <r>
    <x v="102"/>
    <x v="0"/>
    <x v="25"/>
    <x v="10"/>
    <x v="98"/>
    <s v="Akční;Adventura;Horror"/>
    <s v="Playstation 4;PlayStation 3"/>
    <n v="15.5"/>
    <x v="1"/>
    <s v="-"/>
    <s v="-"/>
    <n v="100"/>
    <s v="-"/>
    <s v="-"/>
    <n v="34336"/>
    <s v="-"/>
    <s v="-"/>
    <n v="1201"/>
  </r>
  <r>
    <x v="103"/>
    <x v="0"/>
    <x v="62"/>
    <x v="37"/>
    <x v="99"/>
    <s v="Akční;Adventura;FPS"/>
    <s v="PC;Xbox One;Playstation 4;Xbox 360;PlayStation 3"/>
    <n v="12"/>
    <x v="1"/>
    <n v="95"/>
    <n v="96"/>
    <n v="90"/>
    <n v="56095"/>
    <n v="554"/>
    <n v="9531"/>
    <n v="1518"/>
    <n v="1906"/>
    <n v="845"/>
  </r>
  <r>
    <x v="104"/>
    <x v="1"/>
    <x v="8"/>
    <x v="8"/>
    <x v="100"/>
    <s v="Akční;RPG;Stealth"/>
    <s v="PC;Xbox One;Playstation 4;Xbox 360;PlayStation 3"/>
    <n v="4"/>
    <x v="1"/>
    <n v="96"/>
    <n v="92"/>
    <n v="88"/>
    <n v="54"/>
    <n v="223"/>
    <n v="578"/>
    <n v="1084"/>
    <n v="442"/>
    <n v="880"/>
  </r>
  <r>
    <x v="105"/>
    <x v="1"/>
    <x v="73"/>
    <x v="5"/>
    <x v="101"/>
    <s v="Akční"/>
    <s v="PC;Xbox One;Playstation 4;Xbox 360;PlayStation 3"/>
    <n v="2"/>
    <x v="1"/>
    <n v="62"/>
    <n v="87"/>
    <n v="90"/>
    <n v="32"/>
    <n v="586"/>
    <n v="331"/>
    <n v="1291"/>
    <n v="1329"/>
    <n v="947"/>
  </r>
  <r>
    <x v="106"/>
    <x v="0"/>
    <x v="50"/>
    <x v="5"/>
    <x v="102"/>
    <s v="Akční;Platformer;Adventura"/>
    <s v="PC;Xbox One;Playstation 4;Xbox 360;PlayStation 3"/>
    <n v="11.5"/>
    <x v="1"/>
    <n v="95"/>
    <n v="92"/>
    <n v="92"/>
    <n v="70866"/>
    <n v="2000"/>
    <n v="28158"/>
    <n v="1240"/>
    <n v="1893"/>
    <n v="476"/>
  </r>
  <r>
    <x v="107"/>
    <x v="1"/>
    <x v="4"/>
    <x v="4"/>
    <x v="103"/>
    <s v="Závodní"/>
    <s v="Xbox One;Xbox 360"/>
    <n v="4.5"/>
    <x v="2"/>
    <s v="-"/>
    <n v="76"/>
    <s v="-"/>
    <s v="-"/>
    <n v="128"/>
    <s v="-"/>
    <s v="-"/>
    <n v="651"/>
    <s v="-"/>
  </r>
  <r>
    <x v="108"/>
    <x v="0"/>
    <x v="11"/>
    <x v="3"/>
    <x v="104"/>
    <s v="FPS;Otevřený svět;RPG"/>
    <s v="PC;Xbox One;Playstation 4;Xbox 360;PlayStation 3"/>
    <n v="16.5"/>
    <x v="1"/>
    <n v="88"/>
    <n v="82"/>
    <n v="98"/>
    <n v="44264"/>
    <n v="204"/>
    <n v="2056"/>
    <n v="1655"/>
    <n v="933"/>
    <n v="820"/>
  </r>
  <r>
    <x v="109"/>
    <x v="0"/>
    <x v="4"/>
    <x v="4"/>
    <x v="105"/>
    <s v="Závodní"/>
    <s v="Xbox One;Xbox 360"/>
    <n v="17"/>
    <x v="2"/>
    <s v="-"/>
    <n v="80"/>
    <s v="-"/>
    <s v="-"/>
    <n v="230"/>
    <s v="-"/>
    <s v="-"/>
    <n v="1137"/>
    <s v="-"/>
  </r>
  <r>
    <x v="110"/>
    <x v="0"/>
    <x v="16"/>
    <x v="8"/>
    <x v="106"/>
    <s v="Akční;Adventura;Otevřený svět;RPG"/>
    <s v="PC;Xbox One;Xbox 360;PlayStation 3"/>
    <n v="28"/>
    <x v="1"/>
    <n v="85"/>
    <n v="94"/>
    <s v="-"/>
    <n v="2842"/>
    <n v="380"/>
    <s v="-"/>
    <n v="1618"/>
    <n v="1216"/>
    <s v="-"/>
  </r>
  <r>
    <x v="111"/>
    <x v="0"/>
    <x v="8"/>
    <x v="8"/>
    <x v="107"/>
    <s v="Akční;RPG;Stealth"/>
    <s v="PC;Xbox One;Playstation 4;Xbox 360;PlayStation 3"/>
    <n v="12.5"/>
    <x v="1"/>
    <n v="97"/>
    <n v="92"/>
    <n v="88"/>
    <n v="2611"/>
    <n v="466"/>
    <n v="2324"/>
    <n v="1142"/>
    <n v="668"/>
    <n v="696"/>
  </r>
  <r>
    <x v="112"/>
    <x v="0"/>
    <x v="74"/>
    <x v="37"/>
    <x v="108"/>
    <s v="FPS;RPG;Otevřený svět;Akční"/>
    <s v="PC;Xbox One;Xbox 360;PlayStation 3;Playstation Vita"/>
    <n v="31"/>
    <x v="1"/>
    <n v="96"/>
    <n v="88"/>
    <s v="-"/>
    <n v="89865"/>
    <n v="645"/>
    <s v="-"/>
    <n v="601"/>
    <n v="605"/>
    <s v="-"/>
  </r>
  <r>
    <x v="113"/>
    <x v="0"/>
    <x v="73"/>
    <x v="5"/>
    <x v="109"/>
    <s v="Akční"/>
    <s v="PC;Xbox One;Playstation 4;Xbox 360;PlayStation 3"/>
    <n v="15.5"/>
    <x v="1"/>
    <n v="93"/>
    <n v="88"/>
    <n v="90"/>
    <n v="13404"/>
    <n v="607"/>
    <n v="14043"/>
    <n v="1993"/>
    <n v="1839"/>
    <n v="1552"/>
  </r>
  <r>
    <x v="114"/>
    <x v="0"/>
    <x v="75"/>
    <x v="44"/>
    <x v="110"/>
    <s v="Akční;Adventura"/>
    <s v="PC;Xbox One;Playstation 4;Xbox 360;PlayStation 3"/>
    <n v="29.5"/>
    <x v="1"/>
    <n v="74"/>
    <n v="80"/>
    <n v="82"/>
    <n v="6066"/>
    <n v="353"/>
    <n v="856"/>
    <n v="1200"/>
    <n v="200"/>
    <n v="50"/>
  </r>
  <r>
    <x v="115"/>
    <x v="0"/>
    <x v="76"/>
    <x v="37"/>
    <x v="111"/>
    <s v="Strategie"/>
    <s v="PC;Xbox One;Xbox 360;PlayStation 3"/>
    <n v="6"/>
    <x v="1"/>
    <n v="93"/>
    <n v="94"/>
    <s v="-"/>
    <n v="17264"/>
    <n v="106"/>
    <s v="-"/>
    <n v="1381"/>
    <n v="1004"/>
    <s v="-"/>
  </r>
  <r>
    <x v="116"/>
    <x v="1"/>
    <x v="77"/>
    <x v="4"/>
    <x v="112"/>
    <s v="Akční;Adventura"/>
    <s v="Xbox One;Xbox 360"/>
    <n v="3"/>
    <x v="1"/>
    <s v="-"/>
    <n v="80"/>
    <s v="-"/>
    <s v="-"/>
    <n v="83"/>
    <s v="-"/>
    <s v="-"/>
    <n v="1126"/>
    <s v="-"/>
  </r>
  <r>
    <x v="117"/>
    <x v="0"/>
    <x v="11"/>
    <x v="3"/>
    <x v="113"/>
    <s v="Akční;Adventura;Otevřený svět"/>
    <s v="PC;Xbox One;Xbox 360;PlayStation 3"/>
    <n v="13"/>
    <x v="1"/>
    <n v="84"/>
    <n v="80"/>
    <s v="-"/>
    <n v="5793"/>
    <n v="201"/>
    <s v="-"/>
    <n v="1782"/>
    <n v="812"/>
    <s v="-"/>
  </r>
  <r>
    <x v="118"/>
    <x v="0"/>
    <x v="43"/>
    <x v="8"/>
    <x v="114"/>
    <s v="Akční;RPG;Adventura;Otevřený svět"/>
    <s v="PC;Xbox One;Playstation 4;Xbox 360;PlayStation 3;Nintendo Switch"/>
    <n v="34.5"/>
    <x v="1"/>
    <n v="82"/>
    <n v="88"/>
    <n v="98"/>
    <n v="12116"/>
    <n v="1206"/>
    <n v="11862"/>
    <n v="1023"/>
    <n v="977"/>
    <n v="1094"/>
  </r>
  <r>
    <x v="119"/>
    <x v="0"/>
    <x v="78"/>
    <x v="45"/>
    <x v="115"/>
    <s v="Akční;RPG"/>
    <s v="PC"/>
    <n v="11.5"/>
    <x v="1"/>
    <n v="95"/>
    <s v="-"/>
    <s v="-"/>
    <n v="33125"/>
    <s v="-"/>
    <s v="-"/>
    <n v="1576"/>
    <s v="-"/>
    <s v="-"/>
  </r>
  <r>
    <x v="120"/>
    <x v="0"/>
    <x v="79"/>
    <x v="46"/>
    <x v="116"/>
    <s v="Akční;RPG"/>
    <s v="PC;Xbox One;Xbox 360;PlayStation 3"/>
    <n v="48"/>
    <x v="1"/>
    <n v="89"/>
    <n v="90"/>
    <s v="-"/>
    <n v="48149"/>
    <n v="368"/>
    <s v="-"/>
    <n v="386"/>
    <n v="733"/>
    <s v="-"/>
  </r>
  <r>
    <x v="121"/>
    <x v="0"/>
    <x v="77"/>
    <x v="4"/>
    <x v="116"/>
    <s v="Akční;Adventura"/>
    <s v="Xbox One;Xbox 360"/>
    <n v="9.5"/>
    <x v="1"/>
    <s v="-"/>
    <n v="88"/>
    <s v="-"/>
    <s v="-"/>
    <n v="409"/>
    <s v="-"/>
    <s v="-"/>
    <n v="1730"/>
    <s v="-"/>
  </r>
  <r>
    <x v="122"/>
    <x v="0"/>
    <x v="80"/>
    <x v="5"/>
    <x v="117"/>
    <s v="Akční;Adventura;Stealth;Strategie"/>
    <s v="PC;Xbox One;Xbox 360;PlayStation 3"/>
    <n v="22"/>
    <x v="1"/>
    <n v="91"/>
    <n v="90"/>
    <s v="-"/>
    <n v="11074"/>
    <n v="249"/>
    <s v="-"/>
    <n v="1932"/>
    <n v="661"/>
    <s v="-"/>
  </r>
  <r>
    <x v="123"/>
    <x v="0"/>
    <x v="81"/>
    <x v="38"/>
    <x v="118"/>
    <s v="Akční;Adventura"/>
    <s v="PC;Xbox One;Playstation 4;Xbox 360;PlayStation 3;Nintendo Switch"/>
    <n v="21.5"/>
    <x v="1"/>
    <n v="85"/>
    <n v="94"/>
    <n v="90"/>
    <n v="12806"/>
    <n v="210"/>
    <n v="483"/>
    <n v="1801"/>
    <n v="1719"/>
    <n v="1260"/>
  </r>
  <r>
    <x v="124"/>
    <x v="0"/>
    <x v="82"/>
    <x v="23"/>
    <x v="119"/>
    <s v="Akční;Adventura"/>
    <s v="Nintendo Switch"/>
    <n v="32"/>
    <x v="2"/>
    <s v="-"/>
    <s v="-"/>
    <s v="-"/>
    <s v="-"/>
    <s v="-"/>
    <s v="-"/>
    <s v="-"/>
    <s v="-"/>
    <s v="-"/>
  </r>
  <r>
    <x v="125"/>
    <x v="0"/>
    <x v="2"/>
    <x v="2"/>
    <x v="120"/>
    <s v="Akční;RPG;Adventura"/>
    <s v="PC;Xbox One;Xbox 360"/>
    <n v="24"/>
    <x v="1"/>
    <n v="88"/>
    <n v="88"/>
    <s v="-"/>
    <n v="33809"/>
    <n v="269"/>
    <s v="-"/>
    <n v="1428"/>
    <n v="508"/>
    <s v="-"/>
  </r>
  <r>
    <x v="126"/>
    <x v="0"/>
    <x v="83"/>
    <x v="47"/>
    <x v="121"/>
    <s v="FPS"/>
    <s v="PC;Xbox One;Xbox 360;PlayStation 3"/>
    <n v="9"/>
    <x v="1"/>
    <n v="83"/>
    <n v="80"/>
    <s v="-"/>
    <n v="4795"/>
    <n v="4"/>
    <s v="-"/>
    <n v="1308"/>
    <n v="1182"/>
    <s v="-"/>
  </r>
  <r>
    <x v="127"/>
    <x v="0"/>
    <x v="84"/>
    <x v="48"/>
    <x v="122"/>
    <s v="FPS;Platformer"/>
    <s v="PC;Xbox One;Xbox 360;PlayStation 3"/>
    <n v="9"/>
    <x v="0"/>
    <n v="98"/>
    <n v="96"/>
    <s v="-"/>
    <n v="98794"/>
    <n v="232"/>
    <s v="-"/>
    <n v="1865"/>
    <n v="1148"/>
    <s v="-"/>
  </r>
  <r>
    <x v="128"/>
    <x v="0"/>
    <x v="85"/>
    <x v="37"/>
    <x v="123"/>
    <s v="Akční;Adventura"/>
    <s v="PC;Xbox One;Xbox 360;PlayStation 3"/>
    <n v="12"/>
    <x v="1"/>
    <n v="93"/>
    <n v="96"/>
    <s v="-"/>
    <n v="16061"/>
    <n v="204"/>
    <s v="-"/>
    <n v="918"/>
    <n v="599"/>
    <s v="-"/>
  </r>
  <r>
    <x v="129"/>
    <x v="0"/>
    <x v="72"/>
    <x v="43"/>
    <x v="124"/>
    <s v="FPS"/>
    <s v="PC;Xbox One; Playstation 4;Xbox 360;Playstation 3"/>
    <n v="9"/>
    <x v="1"/>
    <n v="91"/>
    <n v="86"/>
    <n v="90"/>
    <n v="22696"/>
    <n v="445"/>
    <n v="3942"/>
    <n v="1060"/>
    <n v="406"/>
    <n v="1839"/>
  </r>
  <r>
    <x v="130"/>
    <x v="0"/>
    <x v="86"/>
    <x v="38"/>
    <x v="125"/>
    <s v="Akční;Adventura;Otevřený svět"/>
    <s v="Xbox One;Xbox 360;Playstation 3"/>
    <n v="18"/>
    <x v="1"/>
    <s v="-"/>
    <n v="92"/>
    <s v="-"/>
    <s v="-"/>
    <n v="767"/>
    <s v="-"/>
    <s v="-"/>
    <n v="1787"/>
    <s v="-"/>
  </r>
  <r>
    <x v="131"/>
    <x v="0"/>
    <x v="87"/>
    <x v="47"/>
    <x v="126"/>
    <s v="Akční;RPG"/>
    <s v="PC;Xbox One;Xbox 360;PlayStation 3"/>
    <n v="25"/>
    <x v="1"/>
    <n v="95"/>
    <n v="96"/>
    <s v="-"/>
    <n v="9355"/>
    <n v="233"/>
    <s v="-"/>
    <n v="1706"/>
    <n v="1044"/>
    <s v="-"/>
  </r>
  <r>
    <x v="132"/>
    <x v="0"/>
    <x v="75"/>
    <x v="44"/>
    <x v="127"/>
    <s v="Akční;Adventura;Hack and Slash"/>
    <s v="PC;Xbox One;Playstation 4;Xbox 360;PlayStation 3"/>
    <n v="20.100000000000001"/>
    <x v="1"/>
    <n v="89"/>
    <n v="75"/>
    <n v="75"/>
    <n v="6275"/>
    <n v="218"/>
    <n v="853"/>
    <n v="153"/>
    <n v="75"/>
    <n v="20"/>
  </r>
  <r>
    <x v="133"/>
    <x v="0"/>
    <x v="88"/>
    <x v="48"/>
    <x v="128"/>
    <s v="FPS;Horror"/>
    <s v="PC;Xbox One;Xbox 360"/>
    <n v="9.5"/>
    <x v="1"/>
    <n v="96"/>
    <n v="94"/>
    <s v="-"/>
    <n v="145750"/>
    <n v="589"/>
    <s v="-"/>
    <n v="1532"/>
    <n v="1923"/>
    <s v="-"/>
  </r>
  <r>
    <x v="134"/>
    <x v="0"/>
    <x v="11"/>
    <x v="3"/>
    <x v="129"/>
    <s v="Akční;Adventura;Otevřený svět"/>
    <s v="PC;Xbox One;Xbox 360;PlayStation 3"/>
    <n v="19"/>
    <x v="1"/>
    <n v="84"/>
    <n v="94"/>
    <s v="-"/>
    <n v="14766"/>
    <n v="290"/>
    <s v="-"/>
    <n v="1511"/>
    <n v="965"/>
    <s v="-"/>
  </r>
  <r>
    <x v="135"/>
    <x v="1"/>
    <x v="77"/>
    <x v="4"/>
    <x v="130"/>
    <s v="Akční;Adventura"/>
    <s v="Xbox One;Xbox 360"/>
    <n v="0.5"/>
    <x v="1"/>
    <s v="-"/>
    <n v="88"/>
    <s v="-"/>
    <s v="-"/>
    <n v="139"/>
    <s v="-"/>
    <s v="-"/>
    <n v="344"/>
    <s v="-"/>
  </r>
  <r>
    <x v="136"/>
    <x v="0"/>
    <x v="89"/>
    <x v="49"/>
    <x v="131"/>
    <s v="Strategické"/>
    <s v="PC;Xbox 360;Playstation 3;Xbox One;Playstation Vita"/>
    <n v="8"/>
    <x v="3"/>
    <n v="97"/>
    <n v="90"/>
    <s v="-"/>
    <n v="12130"/>
    <n v="286"/>
    <s v="-"/>
    <n v="1932"/>
    <n v="370"/>
    <s v="-"/>
  </r>
  <r>
    <x v="137"/>
    <x v="0"/>
    <x v="90"/>
    <x v="4"/>
    <x v="132"/>
    <s v="RTS"/>
    <s v="PC;Xbox One;Xbox 360"/>
    <n v="9"/>
    <x v="2"/>
    <n v="89"/>
    <n v="74"/>
    <s v="-"/>
    <n v="2232"/>
    <n v="850"/>
    <s v="-"/>
    <n v="1604"/>
    <n v="1400"/>
    <s v="-"/>
  </r>
  <r>
    <x v="138"/>
    <x v="0"/>
    <x v="77"/>
    <x v="4"/>
    <x v="133"/>
    <s v="Akční;Adventura"/>
    <s v="Xbox One;Xbox 360"/>
    <n v="10"/>
    <x v="1"/>
    <s v="-"/>
    <n v="0.88"/>
    <s v="-"/>
    <s v="-"/>
    <n v="298"/>
    <s v="-"/>
    <s v="-"/>
    <n v="739"/>
    <s v="-"/>
  </r>
  <r>
    <x v="139"/>
    <x v="0"/>
    <x v="43"/>
    <x v="8"/>
    <x v="134"/>
    <s v="Akční;RPG;Adventura;Otevřený svět;FPS"/>
    <s v="PC;Xbox One;Xbox 360;PlayStation 3"/>
    <n v="24.5"/>
    <x v="1"/>
    <n v="78"/>
    <n v="90"/>
    <s v="-"/>
    <n v="10341"/>
    <n v="683"/>
    <s v="-"/>
    <n v="895"/>
    <n v="403"/>
    <s v="-"/>
  </r>
  <r>
    <x v="140"/>
    <x v="0"/>
    <x v="87"/>
    <x v="50"/>
    <x v="135"/>
    <s v="Akční;RPG"/>
    <s v="PC;Xbox One;Xbox 360;PlayStation 3"/>
    <n v="18"/>
    <x v="1"/>
    <n v="94"/>
    <n v="94"/>
    <s v="-"/>
    <n v="9474"/>
    <n v="490"/>
    <s v="-"/>
    <n v="1665"/>
    <n v="1260"/>
    <s v="-"/>
  </r>
  <r>
    <x v="141"/>
    <x v="0"/>
    <x v="11"/>
    <x v="3"/>
    <x v="136"/>
    <s v="Akční;Adventura"/>
    <s v="PC;Xbox One;Xbox 360;PlayStation 3"/>
    <n v="15"/>
    <x v="1"/>
    <n v="82"/>
    <n v="86"/>
    <s v="-"/>
    <n v="5800"/>
    <n v="234"/>
    <s v="-"/>
    <n v="806"/>
    <n v="1859"/>
    <s v="-"/>
  </r>
  <r>
    <x v="142"/>
    <x v="0"/>
    <x v="83"/>
    <x v="47"/>
    <x v="137"/>
    <s v="FPS"/>
    <s v="PC;Xbox One;Xbox 360;PlayStation 3"/>
    <n v="10.5"/>
    <x v="1"/>
    <n v="82"/>
    <n v="92"/>
    <s v="-"/>
    <n v="6440"/>
    <n v="20"/>
    <s v="-"/>
    <n v="588"/>
    <n v="1552"/>
    <s v="-"/>
  </r>
  <r>
    <x v="143"/>
    <x v="0"/>
    <x v="62"/>
    <x v="37"/>
    <x v="138"/>
    <s v="Akční;FPS;RPG;Horror"/>
    <s v="PC;Xbox One;Playstation 4;Xbox 360;PlayStation 3"/>
    <n v="12.1"/>
    <x v="1"/>
    <n v="94"/>
    <n v="96"/>
    <n v="90"/>
    <n v="15281"/>
    <n v="227"/>
    <n v="1480"/>
    <n v="691"/>
    <n v="1870"/>
    <n v="1613"/>
  </r>
  <r>
    <x v="144"/>
    <x v="0"/>
    <x v="91"/>
    <x v="51"/>
    <x v="139"/>
    <s v="FPS"/>
    <s v="PC"/>
    <n v="16.5"/>
    <x v="1"/>
    <n v="94"/>
    <s v="-"/>
    <s v="-"/>
    <n v="8135"/>
    <s v="-"/>
    <s v="-"/>
    <n v="1169"/>
    <n v="547"/>
    <n v="1982"/>
  </r>
  <r>
    <x v="145"/>
    <x v="0"/>
    <x v="92"/>
    <x v="4"/>
    <x v="140"/>
    <s v="Akční"/>
    <s v="Xbox One;Xbox 360"/>
    <n v="11"/>
    <x v="1"/>
    <s v="-"/>
    <n v="92"/>
    <s v="-"/>
    <s v="-"/>
    <n v="545"/>
    <s v="-"/>
    <s v="-"/>
    <n v="1040"/>
    <s v="-"/>
  </r>
  <r>
    <x v="146"/>
    <x v="0"/>
    <x v="77"/>
    <x v="4"/>
    <x v="141"/>
    <s v="Akční;Adventura"/>
    <s v="Xbox One;Xbox 360"/>
    <n v="9"/>
    <x v="1"/>
    <s v="-"/>
    <n v="90"/>
    <s v="-"/>
    <s v="-"/>
    <n v="304"/>
    <s v="-"/>
    <s v="-"/>
    <n v="1452"/>
    <s v="-"/>
  </r>
  <r>
    <x v="147"/>
    <x v="0"/>
    <x v="84"/>
    <x v="48"/>
    <x v="142"/>
    <s v="FPS"/>
    <s v="PC;Xbox One;Xbox 360;Playstation 3;Xbox"/>
    <n v="13"/>
    <x v="1"/>
    <n v="96"/>
    <n v="92"/>
    <s v="-"/>
    <n v="48150"/>
    <n v="209"/>
    <s v="-"/>
    <n v="903"/>
    <n v="1673"/>
    <s v="-"/>
  </r>
  <r>
    <x v="148"/>
    <x v="0"/>
    <x v="64"/>
    <x v="3"/>
    <x v="143"/>
    <s v="FPS"/>
    <s v="PC;Xbox 360;Playstation 3;Xbox"/>
    <n v="13.5"/>
    <x v="1"/>
    <n v="84"/>
    <s v="-"/>
    <s v="-"/>
    <n v="3153"/>
    <s v="-"/>
    <s v="-"/>
    <n v="1891"/>
    <s v="-"/>
    <s v="-"/>
  </r>
  <r>
    <x v="149"/>
    <x v="0"/>
    <x v="93"/>
    <x v="3"/>
    <x v="144"/>
    <s v="Akční;Adventura"/>
    <s v="PC;Xbox One;Xbox 360;Playstation 3;Xbox"/>
    <n v="11"/>
    <x v="2"/>
    <n v="90"/>
    <n v="86"/>
    <s v="-"/>
    <n v="1777"/>
    <n v="214"/>
    <s v="-"/>
    <n v="724"/>
    <n v="1473"/>
    <s v="-"/>
  </r>
  <r>
    <x v="150"/>
    <x v="0"/>
    <x v="94"/>
    <x v="52"/>
    <x v="145"/>
    <s v="Akční;Adventura"/>
    <s v="PC;Playstation 2;Xbox"/>
    <n v="16"/>
    <x v="1"/>
    <n v="91"/>
    <s v="-"/>
    <s v="-"/>
    <n v="1457"/>
    <s v="-"/>
    <s v="-"/>
    <n v="416"/>
    <s v="-"/>
    <s v="-"/>
  </r>
  <r>
    <x v="151"/>
    <x v="0"/>
    <x v="95"/>
    <x v="53"/>
    <x v="146"/>
    <s v="FPS"/>
    <s v="PC;Xbox;Playstation 2"/>
    <n v="8"/>
    <x v="1"/>
    <n v="91"/>
    <s v="-"/>
    <s v="-"/>
    <n v="2763"/>
    <s v="-"/>
    <s v="-"/>
    <n v="465"/>
    <s v="-"/>
    <s v="-"/>
  </r>
  <r>
    <x v="152"/>
    <x v="0"/>
    <x v="96"/>
    <x v="23"/>
    <x v="147"/>
    <s v="Akční;Adventura;Platformer"/>
    <s v="Xbox One;Xbox 360"/>
    <n v="11"/>
    <x v="3"/>
    <s v="-"/>
    <n v="88"/>
    <s v="-"/>
    <s v="-"/>
    <n v="247"/>
    <s v="-"/>
    <s v="-"/>
    <n v="1204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B1198-8443-4DCB-BDED-BDCDBD0E1BAA}" name="Kontingenční tabulka1" cacheId="1" applyNumberFormats="0" applyBorderFormats="0" applyFontFormats="0" applyPatternFormats="0" applyAlignmentFormats="0" applyWidthHeightFormats="1" dataCaption="Hodnoty" updatedVersion="6" minRefreshableVersion="5" useAutoFormatting="1" colGrandTotals="0" itemPrintTitles="1" createdVersion="6" indent="0" outline="1" outlineData="1" multipleFieldFilters="0" chartFormat="1" rowHeaderCaption="Vývojáři">
  <location ref="A39:C53" firstHeaderRow="0" firstDataRow="1" firstDataCol="1"/>
  <pivotFields count="20">
    <pivotField axis="axisRow" showAll="0">
      <items count="155">
        <item x="81"/>
        <item x="77"/>
        <item x="141"/>
        <item x="134"/>
        <item x="92"/>
        <item x="3"/>
        <item x="20"/>
        <item x="117"/>
        <item x="59"/>
        <item x="78"/>
        <item x="152"/>
        <item x="45"/>
        <item x="149"/>
        <item x="143"/>
        <item x="103"/>
        <item x="91"/>
        <item x="87"/>
        <item x="68"/>
        <item x="112"/>
        <item x="88"/>
        <item x="145"/>
        <item x="142"/>
        <item x="126"/>
        <item x="24"/>
        <item x="84"/>
        <item x="120"/>
        <item x="71"/>
        <item x="30"/>
        <item x="41"/>
        <item x="10"/>
        <item x="122"/>
        <item x="111"/>
        <item x="44"/>
        <item x="25"/>
        <item x="96"/>
        <item x="104"/>
        <item x="73"/>
        <item x="139"/>
        <item x="60"/>
        <item x="50"/>
        <item x="110"/>
        <item x="148"/>
        <item x="108"/>
        <item x="75"/>
        <item x="11"/>
        <item x="42"/>
        <item x="109"/>
        <item x="82"/>
        <item x="47"/>
        <item x="40"/>
        <item x="4"/>
        <item x="107"/>
        <item x="64"/>
        <item x="23"/>
        <item x="13"/>
        <item x="146"/>
        <item x="138"/>
        <item x="135"/>
        <item x="121"/>
        <item x="116"/>
        <item x="46"/>
        <item x="14"/>
        <item x="94"/>
        <item x="99"/>
        <item x="147"/>
        <item x="137"/>
        <item x="29"/>
        <item x="39"/>
        <item x="69"/>
        <item x="12"/>
        <item x="49"/>
        <item x="90"/>
        <item x="17"/>
        <item x="62"/>
        <item x="123"/>
        <item x="26"/>
        <item x="133"/>
        <item x="72"/>
        <item x="36"/>
        <item x="65"/>
        <item x="128"/>
        <item x="150"/>
        <item x="6"/>
        <item x="140"/>
        <item x="131"/>
        <item x="129"/>
        <item x="101"/>
        <item x="83"/>
        <item x="22"/>
        <item x="33"/>
        <item x="28"/>
        <item x="52"/>
        <item x="95"/>
        <item x="7"/>
        <item x="58"/>
        <item x="97"/>
        <item x="38"/>
        <item x="16"/>
        <item x="136"/>
        <item x="127"/>
        <item x="34"/>
        <item x="8"/>
        <item x="55"/>
        <item x="48"/>
        <item x="130"/>
        <item x="1"/>
        <item x="151"/>
        <item x="61"/>
        <item x="89"/>
        <item x="144"/>
        <item x="5"/>
        <item x="113"/>
        <item x="105"/>
        <item x="115"/>
        <item x="56"/>
        <item x="98"/>
        <item x="79"/>
        <item x="74"/>
        <item x="54"/>
        <item x="119"/>
        <item x="118"/>
        <item x="80"/>
        <item x="21"/>
        <item x="102"/>
        <item x="35"/>
        <item x="70"/>
        <item x="31"/>
        <item x="100"/>
        <item x="125"/>
        <item x="66"/>
        <item x="51"/>
        <item x="63"/>
        <item x="93"/>
        <item x="32"/>
        <item x="76"/>
        <item x="2"/>
        <item x="106"/>
        <item x="53"/>
        <item x="27"/>
        <item x="85"/>
        <item x="9"/>
        <item x="43"/>
        <item x="15"/>
        <item x="37"/>
        <item x="19"/>
        <item x="86"/>
        <item x="67"/>
        <item x="57"/>
        <item x="114"/>
        <item x="132"/>
        <item x="0"/>
        <item m="1" x="153"/>
        <item x="18"/>
        <item x="124"/>
        <item t="default"/>
      </items>
    </pivotField>
    <pivotField axis="axisRow" dataField="1" showAll="0">
      <items count="4">
        <item sd="0" x="0"/>
        <item sd="0" x="1"/>
        <item m="1" x="2"/>
        <item t="default"/>
      </items>
    </pivotField>
    <pivotField axis="axisRow" showAll="0">
      <items count="99">
        <item sd="0" x="13"/>
        <item sd="0" x="85"/>
        <item sd="0" x="72"/>
        <item sd="0" x="60"/>
        <item sd="0" x="12"/>
        <item sd="0" x="8"/>
        <item sd="0" x="35"/>
        <item sd="0" x="52"/>
        <item sd="0" x="43"/>
        <item sd="0" x="87"/>
        <item sd="0" x="26"/>
        <item sd="0" x="37"/>
        <item x="2"/>
        <item sd="0" x="41"/>
        <item sd="0" x="15"/>
        <item sd="0" x="47"/>
        <item sd="0" x="50"/>
        <item sd="0" x="64"/>
        <item sd="0" x="83"/>
        <item sd="0" x="29"/>
        <item sd="0" x="54"/>
        <item sd="0" x="9"/>
        <item sd="0" x="78"/>
        <item sd="0" x="80"/>
        <item sd="0" x="5"/>
        <item sd="0" x="90"/>
        <item sd="0" x="77"/>
        <item sd="0" x="71"/>
        <item sd="0" x="63"/>
        <item sd="0" x="53"/>
        <item sd="0" x="79"/>
        <item sd="0" x="7"/>
        <item sd="0" x="34"/>
        <item sd="0" x="95"/>
        <item sd="0" x="91"/>
        <item sd="0" x="65"/>
        <item sd="0" x="94"/>
        <item sd="0" x="6"/>
        <item sd="0" x="74"/>
        <item sd="0" x="62"/>
        <item sd="0" x="68"/>
        <item sd="0" x="19"/>
        <item sd="0" x="21"/>
        <item sd="0" x="44"/>
        <item sd="0" x="25"/>
        <item sd="0" x="49"/>
        <item sd="0" x="27"/>
        <item sd="0" x="32"/>
        <item sd="0" x="51"/>
        <item sd="0" x="16"/>
        <item sd="0" x="24"/>
        <item sd="0" x="31"/>
        <item sd="0" x="42"/>
        <item sd="0" x="4"/>
        <item sd="0" x="89"/>
        <item sd="0" x="10"/>
        <item sd="0" x="96"/>
        <item sd="0" x="55"/>
        <item sd="0" x="92"/>
        <item sd="0" x="67"/>
        <item sd="0" x="28"/>
        <item sd="0" x="46"/>
        <item sd="0" x="81"/>
        <item sd="0" x="66"/>
        <item sd="0" x="86"/>
        <item sd="0" x="1"/>
        <item sd="0" x="48"/>
        <item sd="0" x="14"/>
        <item sd="0" x="38"/>
        <item sd="0" x="45"/>
        <item sd="0" x="23"/>
        <item sd="0" x="70"/>
        <item sd="0" x="20"/>
        <item sd="0" x="33"/>
        <item sd="0" x="36"/>
        <item sd="0" x="56"/>
        <item sd="0" x="57"/>
        <item sd="0" x="30"/>
        <item sd="0" x="40"/>
        <item sd="0" x="59"/>
        <item sd="0" x="22"/>
        <item sd="0" x="88"/>
        <item sd="0" x="93"/>
        <item sd="0" x="61"/>
        <item sd="0" x="11"/>
        <item sd="0" x="3"/>
        <item sd="0" x="58"/>
        <item sd="0" x="69"/>
        <item sd="0" x="73"/>
        <item sd="0" x="84"/>
        <item sd="0" x="17"/>
        <item sd="0" x="39"/>
        <item sd="0" x="76"/>
        <item sd="0" x="75"/>
        <item sd="0" x="0"/>
        <item m="1" x="97"/>
        <item x="18"/>
        <item x="82"/>
        <item t="default"/>
      </items>
    </pivotField>
    <pivotField showAll="0">
      <items count="56">
        <item m="1" x="54"/>
        <item x="12"/>
        <item x="37"/>
        <item x="18"/>
        <item x="53"/>
        <item x="28"/>
        <item x="11"/>
        <item x="25"/>
        <item x="19"/>
        <item x="26"/>
        <item x="24"/>
        <item x="8"/>
        <item x="2"/>
        <item x="43"/>
        <item x="35"/>
        <item x="45"/>
        <item x="47"/>
        <item x="42"/>
        <item x="9"/>
        <item x="52"/>
        <item x="13"/>
        <item x="30"/>
        <item x="40"/>
        <item x="4"/>
        <item x="50"/>
        <item x="46"/>
        <item x="32"/>
        <item x="20"/>
        <item x="23"/>
        <item x="0"/>
        <item x="29"/>
        <item x="49"/>
        <item x="33"/>
        <item x="39"/>
        <item x="21"/>
        <item x="38"/>
        <item x="1"/>
        <item x="31"/>
        <item x="10"/>
        <item x="6"/>
        <item x="5"/>
        <item x="17"/>
        <item x="41"/>
        <item x="27"/>
        <item x="7"/>
        <item x="36"/>
        <item x="22"/>
        <item x="51"/>
        <item x="44"/>
        <item x="3"/>
        <item x="48"/>
        <item x="14"/>
        <item x="15"/>
        <item x="16"/>
        <item x="34"/>
        <item t="default"/>
      </items>
    </pivotField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5" showAll="0"/>
    <pivotField axis="axisRow" multipleItemSelectionAllowed="1" showAll="0">
      <items count="7">
        <item x="4"/>
        <item x="3"/>
        <item x="0"/>
        <item x="1"/>
        <item m="1" x="5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5"/>
        <item x="0"/>
        <item t="default"/>
      </items>
    </pivotField>
    <pivotField showAll="0">
      <items count="24">
        <item x="1"/>
        <item sd="0" x="2"/>
        <item sd="0" x="3"/>
        <item x="4"/>
        <item x="5"/>
        <item x="6"/>
        <item x="7"/>
        <item sd="0" x="8"/>
        <item x="9"/>
        <item x="10"/>
        <item x="11"/>
        <item x="12"/>
        <item x="13"/>
        <item x="14"/>
        <item sd="0" x="15"/>
        <item sd="0" x="16"/>
        <item sd="0" x="17"/>
        <item sd="0" x="18"/>
        <item sd="0" x="19"/>
        <item sd="0" x="20"/>
        <item sd="0" x="21"/>
        <item x="22"/>
        <item x="0"/>
        <item t="default"/>
      </items>
    </pivotField>
  </pivotFields>
  <rowFields count="4">
    <field x="8"/>
    <field x="1"/>
    <field x="2"/>
    <field x="0"/>
  </rowFields>
  <rowItems count="14">
    <i>
      <x/>
    </i>
    <i r="1">
      <x/>
    </i>
    <i>
      <x v="1"/>
    </i>
    <i r="1">
      <x/>
    </i>
    <i r="1">
      <x v="1"/>
    </i>
    <i>
      <x v="2"/>
    </i>
    <i r="1">
      <x/>
    </i>
    <i>
      <x v="3"/>
    </i>
    <i r="1">
      <x/>
    </i>
    <i r="1">
      <x v="1"/>
    </i>
    <i>
      <x v="5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Počet produktů" fld="1" subtotal="count" baseField="2" baseItem="0"/>
    <dataField name="Průměrné datum vydání" fld="4" subtotal="average" baseField="2" baseItem="0" numFmtId="14"/>
  </dataFields>
  <formats count="11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8" type="button" dataOnly="0" labelOnly="1" outline="0" axis="axisRow" fieldPosition="0"/>
    </format>
    <format dxfId="99">
      <pivotArea dataOnly="0" labelOnly="1" fieldPosition="0">
        <references count="1">
          <reference field="8" count="0"/>
        </references>
      </pivotArea>
    </format>
    <format dxfId="98">
      <pivotArea dataOnly="0" labelOnly="1" grandRow="1" outline="0" fieldPosition="0"/>
    </format>
    <format dxfId="97">
      <pivotArea dataOnly="0" labelOnly="1" fieldPosition="0">
        <references count="2">
          <reference field="1" count="1">
            <x v="0"/>
          </reference>
          <reference field="8" count="1" selected="0">
            <x v="0"/>
          </reference>
        </references>
      </pivotArea>
    </format>
    <format dxfId="96">
      <pivotArea dataOnly="0" labelOnly="1" fieldPosition="0">
        <references count="2">
          <reference field="1" count="0"/>
          <reference field="8" count="1" selected="0">
            <x v="1"/>
          </reference>
        </references>
      </pivotArea>
    </format>
    <format dxfId="95">
      <pivotArea dataOnly="0" labelOnly="1" fieldPosition="0">
        <references count="2">
          <reference field="1" count="1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2">
          <reference field="1" count="0"/>
          <reference field="8" count="1" selected="0">
            <x v="3"/>
          </reference>
        </references>
      </pivotArea>
    </format>
    <format dxfId="93">
      <pivotArea dataOnly="0" labelOnly="1" fieldPosition="0">
        <references count="2">
          <reference field="1" count="0"/>
          <reference field="8" count="1" selected="0">
            <x v="5"/>
          </reference>
        </references>
      </pivotArea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3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3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5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5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8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8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8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8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8" count="1" selected="0">
            <x v="3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8" count="1" selected="0">
            <x v="3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8" count="1" selected="0">
            <x v="5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6088D-4E39-4FDE-86BA-9B6504A1DAC1}" name="Kontingenční tabulka2" cacheId="1" applyNumberFormats="0" applyBorderFormats="0" applyFontFormats="0" applyPatternFormats="0" applyAlignmentFormats="0" applyWidthHeightFormats="1" dataCaption="Hodnoty" updatedVersion="6" minRefreshableVersion="5" useAutoFormatting="1" itemPrintTitles="1" createdVersion="6" indent="0" outline="1" outlineData="1" multipleFieldFilters="0" chartFormat="1">
  <location ref="A35:D54" firstHeaderRow="0" firstDataRow="1" firstDataCol="1" rowPageCount="1" colPageCount="1"/>
  <pivotFields count="20">
    <pivotField axis="axisRow" showAll="0">
      <items count="155">
        <item x="81"/>
        <item x="77"/>
        <item x="141"/>
        <item x="134"/>
        <item x="92"/>
        <item x="3"/>
        <item x="20"/>
        <item x="117"/>
        <item x="59"/>
        <item x="78"/>
        <item x="152"/>
        <item x="45"/>
        <item x="149"/>
        <item x="143"/>
        <item x="103"/>
        <item x="91"/>
        <item x="87"/>
        <item x="68"/>
        <item x="112"/>
        <item x="88"/>
        <item x="145"/>
        <item x="142"/>
        <item x="126"/>
        <item x="24"/>
        <item x="84"/>
        <item x="120"/>
        <item x="71"/>
        <item x="30"/>
        <item x="41"/>
        <item x="10"/>
        <item x="122"/>
        <item x="111"/>
        <item x="44"/>
        <item x="25"/>
        <item x="96"/>
        <item x="104"/>
        <item x="73"/>
        <item x="139"/>
        <item x="60"/>
        <item x="50"/>
        <item x="110"/>
        <item x="148"/>
        <item x="108"/>
        <item x="75"/>
        <item x="11"/>
        <item x="42"/>
        <item x="109"/>
        <item x="82"/>
        <item x="47"/>
        <item x="40"/>
        <item x="4"/>
        <item x="107"/>
        <item x="64"/>
        <item x="23"/>
        <item x="13"/>
        <item x="146"/>
        <item x="138"/>
        <item x="135"/>
        <item x="121"/>
        <item x="116"/>
        <item x="46"/>
        <item x="14"/>
        <item x="94"/>
        <item x="99"/>
        <item x="147"/>
        <item x="137"/>
        <item x="29"/>
        <item x="39"/>
        <item x="69"/>
        <item x="12"/>
        <item x="49"/>
        <item x="90"/>
        <item x="17"/>
        <item x="62"/>
        <item x="123"/>
        <item x="26"/>
        <item x="133"/>
        <item x="72"/>
        <item x="36"/>
        <item x="65"/>
        <item x="128"/>
        <item x="150"/>
        <item x="6"/>
        <item x="140"/>
        <item x="131"/>
        <item x="129"/>
        <item x="101"/>
        <item x="83"/>
        <item x="22"/>
        <item x="33"/>
        <item x="28"/>
        <item x="52"/>
        <item x="95"/>
        <item x="7"/>
        <item x="58"/>
        <item x="97"/>
        <item x="38"/>
        <item x="16"/>
        <item x="136"/>
        <item x="127"/>
        <item x="34"/>
        <item x="8"/>
        <item x="55"/>
        <item x="48"/>
        <item x="130"/>
        <item x="1"/>
        <item x="151"/>
        <item x="61"/>
        <item x="89"/>
        <item x="144"/>
        <item x="5"/>
        <item x="113"/>
        <item x="105"/>
        <item x="115"/>
        <item x="56"/>
        <item x="98"/>
        <item x="79"/>
        <item x="74"/>
        <item x="54"/>
        <item x="119"/>
        <item x="118"/>
        <item x="80"/>
        <item x="21"/>
        <item x="102"/>
        <item x="35"/>
        <item x="70"/>
        <item x="31"/>
        <item x="100"/>
        <item x="125"/>
        <item x="66"/>
        <item x="51"/>
        <item x="63"/>
        <item x="93"/>
        <item x="32"/>
        <item x="76"/>
        <item x="2"/>
        <item x="106"/>
        <item x="53"/>
        <item x="27"/>
        <item x="85"/>
        <item x="9"/>
        <item x="43"/>
        <item x="15"/>
        <item x="37"/>
        <item x="19"/>
        <item x="86"/>
        <item x="67"/>
        <item x="57"/>
        <item x="114"/>
        <item x="132"/>
        <item x="0"/>
        <item m="1" x="153"/>
        <item x="18"/>
        <item x="124"/>
        <item t="default"/>
      </items>
    </pivotField>
    <pivotField showAll="0">
      <items count="4">
        <item m="1" x="2"/>
        <item x="0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5" showAll="0"/>
    <pivotField axis="axisPage" showAll="0">
      <items count="7">
        <item x="4"/>
        <item x="3"/>
        <item x="0"/>
        <item x="1"/>
        <item m="1" x="5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24">
        <item sd="0" x="1"/>
        <item x="2"/>
        <item x="3"/>
        <item sd="0" x="4"/>
        <item sd="0" x="5"/>
        <item sd="0" x="6"/>
        <item sd="0" x="7"/>
        <item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x="22"/>
        <item x="0"/>
        <item t="default"/>
      </items>
    </pivotField>
  </pivotFields>
  <rowFields count="2">
    <field x="19"/>
    <field x="0"/>
  </rowFields>
  <rowItems count="19">
    <i>
      <x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Počet prodaných kusů na PC" fld="15" baseField="0" baseItem="0"/>
    <dataField name="Počet prodaných kusů na X1" fld="16" baseField="0" baseItem="0"/>
    <dataField name="Počet prodaných kusů na PS4" fld="17" baseField="0" baseItem="0"/>
  </dataFields>
  <formats count="6"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19" type="button" dataOnly="0" labelOnly="1" outline="0" axis="axisRow" fieldPosition="0"/>
    </format>
    <format dxfId="88">
      <pivotArea dataOnly="0" labelOnly="1" fieldPosition="0">
        <references count="1">
          <reference field="19" count="18">
            <x v="0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C9A758-9483-4348-A1B5-874D736A612C}" name="Kontingenční tabulka1" cacheId="0" applyNumberFormats="0" applyBorderFormats="0" applyFontFormats="0" applyPatternFormats="0" applyAlignmentFormats="0" applyWidthHeightFormats="1" dataCaption="Hodnoty" showError="1" updatedVersion="6" minRefreshableVersion="5" useAutoFormatting="1" itemPrintTitles="1" createdVersion="6" indent="0" outline="1" outlineData="1" multipleFieldFilters="0" chartFormat="1" rowHeaderCaption="">
  <location ref="A33:D52" firstHeaderRow="0" firstDataRow="1" firstDataCol="1" rowPageCount="2" colPageCount="1"/>
  <pivotFields count="20">
    <pivotField axis="axisRow" showAll="0">
      <items count="155">
        <item x="81"/>
        <item x="77"/>
        <item x="141"/>
        <item x="134"/>
        <item x="92"/>
        <item x="3"/>
        <item x="20"/>
        <item x="117"/>
        <item x="59"/>
        <item x="78"/>
        <item x="152"/>
        <item x="45"/>
        <item x="149"/>
        <item x="143"/>
        <item x="103"/>
        <item x="91"/>
        <item x="87"/>
        <item x="68"/>
        <item x="112"/>
        <item x="88"/>
        <item x="145"/>
        <item x="142"/>
        <item x="126"/>
        <item x="24"/>
        <item x="84"/>
        <item x="120"/>
        <item x="71"/>
        <item x="30"/>
        <item x="132"/>
        <item x="114"/>
        <item x="41"/>
        <item x="10"/>
        <item x="122"/>
        <item x="111"/>
        <item x="44"/>
        <item x="25"/>
        <item x="96"/>
        <item x="104"/>
        <item x="73"/>
        <item x="139"/>
        <item x="60"/>
        <item x="50"/>
        <item x="110"/>
        <item x="148"/>
        <item x="108"/>
        <item x="75"/>
        <item x="11"/>
        <item x="42"/>
        <item x="109"/>
        <item x="82"/>
        <item x="47"/>
        <item x="40"/>
        <item x="4"/>
        <item x="107"/>
        <item x="64"/>
        <item x="23"/>
        <item x="13"/>
        <item x="146"/>
        <item x="138"/>
        <item x="135"/>
        <item x="121"/>
        <item x="116"/>
        <item x="46"/>
        <item x="14"/>
        <item x="94"/>
        <item x="99"/>
        <item x="147"/>
        <item x="137"/>
        <item x="29"/>
        <item x="39"/>
        <item x="69"/>
        <item x="12"/>
        <item x="49"/>
        <item x="90"/>
        <item x="17"/>
        <item x="62"/>
        <item x="123"/>
        <item x="26"/>
        <item x="133"/>
        <item x="72"/>
        <item x="36"/>
        <item x="65"/>
        <item x="128"/>
        <item x="150"/>
        <item x="6"/>
        <item x="140"/>
        <item x="131"/>
        <item x="129"/>
        <item x="101"/>
        <item x="83"/>
        <item x="22"/>
        <item x="33"/>
        <item x="28"/>
        <item x="52"/>
        <item x="95"/>
        <item x="7"/>
        <item x="58"/>
        <item x="97"/>
        <item x="38"/>
        <item x="16"/>
        <item x="136"/>
        <item x="127"/>
        <item x="34"/>
        <item x="8"/>
        <item x="55"/>
        <item x="48"/>
        <item x="130"/>
        <item x="1"/>
        <item x="151"/>
        <item x="61"/>
        <item x="89"/>
        <item x="144"/>
        <item x="5"/>
        <item x="113"/>
        <item x="105"/>
        <item x="115"/>
        <item x="56"/>
        <item x="98"/>
        <item x="79"/>
        <item x="0"/>
        <item x="74"/>
        <item x="54"/>
        <item x="119"/>
        <item x="118"/>
        <item x="80"/>
        <item x="21"/>
        <item x="102"/>
        <item x="35"/>
        <item x="70"/>
        <item x="31"/>
        <item x="100"/>
        <item x="125"/>
        <item x="66"/>
        <item x="51"/>
        <item x="63"/>
        <item x="93"/>
        <item x="32"/>
        <item x="76"/>
        <item x="2"/>
        <item x="106"/>
        <item x="53"/>
        <item x="27"/>
        <item x="85"/>
        <item x="9"/>
        <item x="43"/>
        <item x="15"/>
        <item x="37"/>
        <item x="19"/>
        <item x="86"/>
        <item x="67"/>
        <item x="57"/>
        <item m="1" x="153"/>
        <item x="18"/>
        <item x="124"/>
        <item t="default"/>
      </items>
    </pivotField>
    <pivotField showAll="0">
      <items count="4">
        <item m="1" x="2"/>
        <item x="0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5" showAll="0"/>
    <pivotField axis="axisPage" showAll="0">
      <items count="6">
        <item x="4"/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7">
        <item sd="0" x="1"/>
        <item sd="0" x="2"/>
        <item sd="0" x="3"/>
        <item sd="0" x="4"/>
        <item sd="0" x="5"/>
        <item x="0"/>
        <item t="default"/>
      </items>
    </pivotField>
    <pivotField axis="axisRow" showAll="0">
      <items count="24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x="0"/>
        <item t="default"/>
      </items>
    </pivotField>
  </pivotFields>
  <rowFields count="2">
    <field x="19"/>
    <field x="0"/>
  </rowFields>
  <rowItems count="19">
    <i>
      <x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8" hier="-1"/>
    <pageField fld="18" hier="-1"/>
  </pageFields>
  <dataFields count="3">
    <dataField name="Průměrné hodnocení uživatelů (PC)" fld="9" subtotal="average" baseField="0" baseItem="0" numFmtId="164"/>
    <dataField name="Průměrné hodnocení uživatelů (X1)" fld="10" subtotal="average" baseField="0" baseItem="0" numFmtId="164"/>
    <dataField name="Průměrné hodnocení uživatelů (PS4)" fld="11" subtotal="average" baseField="0" baseItem="0" numFmtId="164"/>
  </dataFields>
  <formats count="12">
    <format dxfId="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">
      <pivotArea field="19" type="button" dataOnly="0" labelOnly="1" outline="0" axis="axisRow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19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9" type="button" dataOnly="0" labelOnly="1" outline="0" axis="axisRow" fieldPosition="0"/>
    </format>
    <format dxfId="76">
      <pivotArea dataOnly="0" labelOnly="1" fieldPosition="0">
        <references count="1">
          <reference field="19" count="18">
            <x v="0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96798-8DA6-4793-8FFD-B8B275A044BE}" name="Kontingenční tabulka1" cacheId="0" applyNumberFormats="0" applyBorderFormats="0" applyFontFormats="0" applyPatternFormats="0" applyAlignmentFormats="0" applyWidthHeightFormats="1" dataCaption="Hodnoty" errorCaption="0" showError="1" updatedVersion="6" minRefreshableVersion="5" useAutoFormatting="1" itemPrintTitles="1" createdVersion="6" indent="0" outline="1" outlineData="1" multipleFieldFilters="0" rowHeaderCaption="">
  <location ref="A19:G235" firstHeaderRow="0" firstDataRow="1" firstDataCol="1" rowPageCount="1" colPageCount="1"/>
  <pivotFields count="20">
    <pivotField axis="axisRow" showAll="0">
      <items count="155">
        <item m="1" x="153"/>
        <item x="81"/>
        <item x="77"/>
        <item x="141"/>
        <item x="134"/>
        <item x="92"/>
        <item x="3"/>
        <item x="20"/>
        <item x="117"/>
        <item x="59"/>
        <item x="78"/>
        <item x="152"/>
        <item x="45"/>
        <item x="149"/>
        <item x="143"/>
        <item x="103"/>
        <item x="91"/>
        <item x="87"/>
        <item x="68"/>
        <item x="112"/>
        <item x="88"/>
        <item x="145"/>
        <item x="142"/>
        <item x="126"/>
        <item x="24"/>
        <item x="84"/>
        <item x="120"/>
        <item x="71"/>
        <item x="30"/>
        <item x="132"/>
        <item x="114"/>
        <item x="41"/>
        <item x="10"/>
        <item x="122"/>
        <item x="111"/>
        <item x="44"/>
        <item x="25"/>
        <item x="96"/>
        <item x="104"/>
        <item x="73"/>
        <item x="139"/>
        <item x="60"/>
        <item x="50"/>
        <item x="110"/>
        <item x="148"/>
        <item x="108"/>
        <item x="75"/>
        <item x="11"/>
        <item x="42"/>
        <item x="109"/>
        <item x="82"/>
        <item x="47"/>
        <item x="40"/>
        <item x="4"/>
        <item x="107"/>
        <item x="64"/>
        <item x="23"/>
        <item x="13"/>
        <item x="146"/>
        <item x="138"/>
        <item x="135"/>
        <item x="121"/>
        <item x="116"/>
        <item x="46"/>
        <item x="14"/>
        <item x="94"/>
        <item x="99"/>
        <item x="147"/>
        <item x="137"/>
        <item x="29"/>
        <item x="39"/>
        <item x="69"/>
        <item x="12"/>
        <item x="49"/>
        <item x="90"/>
        <item x="17"/>
        <item x="62"/>
        <item x="123"/>
        <item x="26"/>
        <item x="133"/>
        <item x="72"/>
        <item x="36"/>
        <item x="65"/>
        <item x="128"/>
        <item x="150"/>
        <item x="6"/>
        <item x="140"/>
        <item x="131"/>
        <item x="129"/>
        <item x="101"/>
        <item x="83"/>
        <item x="22"/>
        <item x="33"/>
        <item x="28"/>
        <item x="52"/>
        <item x="95"/>
        <item x="7"/>
        <item x="58"/>
        <item x="97"/>
        <item x="38"/>
        <item x="16"/>
        <item x="136"/>
        <item x="127"/>
        <item x="34"/>
        <item x="8"/>
        <item x="55"/>
        <item x="48"/>
        <item x="130"/>
        <item x="1"/>
        <item x="151"/>
        <item x="61"/>
        <item x="89"/>
        <item x="144"/>
        <item x="5"/>
        <item x="113"/>
        <item x="105"/>
        <item x="115"/>
        <item x="56"/>
        <item x="98"/>
        <item x="79"/>
        <item x="18"/>
        <item x="0"/>
        <item x="74"/>
        <item x="54"/>
        <item x="119"/>
        <item x="118"/>
        <item x="80"/>
        <item x="21"/>
        <item x="102"/>
        <item x="35"/>
        <item x="70"/>
        <item x="31"/>
        <item x="100"/>
        <item x="125"/>
        <item x="66"/>
        <item x="51"/>
        <item x="63"/>
        <item x="93"/>
        <item x="32"/>
        <item x="76"/>
        <item x="2"/>
        <item x="106"/>
        <item x="53"/>
        <item x="27"/>
        <item x="85"/>
        <item x="9"/>
        <item x="43"/>
        <item x="15"/>
        <item x="37"/>
        <item x="19"/>
        <item x="86"/>
        <item x="67"/>
        <item x="57"/>
        <item x="124"/>
        <item t="default"/>
      </items>
    </pivotField>
    <pivotField axis="axisRow" showAll="0">
      <items count="4">
        <item m="1" x="2"/>
        <item x="0"/>
        <item x="1"/>
        <item t="default"/>
      </items>
    </pivotField>
    <pivotField showAll="0">
      <items count="98">
        <item x="13"/>
        <item x="85"/>
        <item x="72"/>
        <item x="60"/>
        <item x="12"/>
        <item x="8"/>
        <item x="35"/>
        <item x="52"/>
        <item x="0"/>
        <item x="43"/>
        <item x="87"/>
        <item x="26"/>
        <item x="37"/>
        <item x="2"/>
        <item x="41"/>
        <item x="15"/>
        <item x="47"/>
        <item x="50"/>
        <item x="64"/>
        <item x="83"/>
        <item x="29"/>
        <item x="54"/>
        <item x="9"/>
        <item x="78"/>
        <item x="80"/>
        <item x="5"/>
        <item x="90"/>
        <item x="77"/>
        <item x="71"/>
        <item x="63"/>
        <item x="53"/>
        <item x="79"/>
        <item x="7"/>
        <item x="34"/>
        <item x="95"/>
        <item x="91"/>
        <item x="65"/>
        <item x="94"/>
        <item x="6"/>
        <item x="74"/>
        <item x="62"/>
        <item x="68"/>
        <item x="19"/>
        <item x="21"/>
        <item x="44"/>
        <item x="25"/>
        <item x="49"/>
        <item x="27"/>
        <item x="82"/>
        <item x="18"/>
        <item x="32"/>
        <item x="51"/>
        <item x="16"/>
        <item x="24"/>
        <item x="31"/>
        <item x="42"/>
        <item x="4"/>
        <item x="89"/>
        <item x="10"/>
        <item x="96"/>
        <item x="55"/>
        <item x="92"/>
        <item x="67"/>
        <item x="28"/>
        <item x="46"/>
        <item x="81"/>
        <item x="66"/>
        <item x="86"/>
        <item x="1"/>
        <item x="48"/>
        <item x="14"/>
        <item x="38"/>
        <item x="45"/>
        <item x="23"/>
        <item x="70"/>
        <item x="20"/>
        <item x="33"/>
        <item x="36"/>
        <item x="56"/>
        <item x="57"/>
        <item x="30"/>
        <item x="40"/>
        <item x="59"/>
        <item x="22"/>
        <item x="88"/>
        <item x="93"/>
        <item x="61"/>
        <item x="11"/>
        <item x="3"/>
        <item x="58"/>
        <item x="69"/>
        <item x="73"/>
        <item x="84"/>
        <item x="75"/>
        <item x="17"/>
        <item x="39"/>
        <item x="76"/>
        <item t="default"/>
      </items>
    </pivotField>
    <pivotField axis="axisRow" showAll="0">
      <items count="55">
        <item x="12"/>
        <item x="37"/>
        <item x="18"/>
        <item x="53"/>
        <item x="28"/>
        <item x="11"/>
        <item x="25"/>
        <item x="19"/>
        <item x="26"/>
        <item x="24"/>
        <item x="8"/>
        <item x="2"/>
        <item x="43"/>
        <item x="35"/>
        <item x="45"/>
        <item x="47"/>
        <item x="42"/>
        <item x="9"/>
        <item x="52"/>
        <item x="13"/>
        <item x="30"/>
        <item x="40"/>
        <item x="4"/>
        <item x="50"/>
        <item x="46"/>
        <item x="32"/>
        <item x="20"/>
        <item x="23"/>
        <item x="0"/>
        <item x="29"/>
        <item x="49"/>
        <item x="33"/>
        <item x="39"/>
        <item x="21"/>
        <item x="38"/>
        <item x="1"/>
        <item x="31"/>
        <item x="10"/>
        <item x="6"/>
        <item x="5"/>
        <item x="17"/>
        <item x="41"/>
        <item x="27"/>
        <item x="7"/>
        <item x="36"/>
        <item x="22"/>
        <item x="51"/>
        <item x="44"/>
        <item x="3"/>
        <item x="48"/>
        <item x="14"/>
        <item x="15"/>
        <item x="16"/>
        <item x="34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5" showAll="0"/>
    <pivotField axis="axisPage" showAll="0">
      <items count="6">
        <item x="4"/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 defaultSubtotal="0"/>
    <pivotField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</pivotFields>
  <rowFields count="3">
    <field x="1"/>
    <field x="3"/>
    <field x="0"/>
  </rowFields>
  <rowItems count="216">
    <i>
      <x v="1"/>
    </i>
    <i r="1">
      <x/>
    </i>
    <i r="2">
      <x v="57"/>
    </i>
    <i r="2">
      <x v="139"/>
    </i>
    <i r="1">
      <x v="1"/>
    </i>
    <i r="2">
      <x v="14"/>
    </i>
    <i r="2">
      <x v="15"/>
    </i>
    <i r="2">
      <x v="19"/>
    </i>
    <i r="2">
      <x v="83"/>
    </i>
    <i r="2">
      <x v="116"/>
    </i>
    <i r="1">
      <x v="2"/>
    </i>
    <i r="2">
      <x v="78"/>
    </i>
    <i r="1">
      <x v="3"/>
    </i>
    <i r="2">
      <x v="109"/>
    </i>
    <i r="1">
      <x v="4"/>
    </i>
    <i r="2">
      <x v="12"/>
    </i>
    <i r="1">
      <x v="5"/>
    </i>
    <i r="2">
      <x v="72"/>
    </i>
    <i r="1">
      <x v="6"/>
    </i>
    <i r="2">
      <x v="148"/>
    </i>
    <i r="1">
      <x v="7"/>
    </i>
    <i r="2">
      <x v="93"/>
    </i>
    <i r="1">
      <x v="8"/>
    </i>
    <i r="2">
      <x v="99"/>
    </i>
    <i r="1">
      <x v="9"/>
    </i>
    <i r="2">
      <x v="81"/>
    </i>
    <i r="1">
      <x v="10"/>
    </i>
    <i r="2">
      <x v="34"/>
    </i>
    <i r="2">
      <x v="35"/>
    </i>
    <i r="2">
      <x v="36"/>
    </i>
    <i r="2">
      <x v="40"/>
    </i>
    <i r="2">
      <x v="41"/>
    </i>
    <i r="2">
      <x v="43"/>
    </i>
    <i r="2">
      <x v="103"/>
    </i>
    <i r="2">
      <x v="125"/>
    </i>
    <i r="2">
      <x v="126"/>
    </i>
    <i r="2">
      <x v="127"/>
    </i>
    <i r="2">
      <x v="149"/>
    </i>
    <i r="2">
      <x v="150"/>
    </i>
    <i r="2">
      <x v="151"/>
    </i>
    <i r="1">
      <x v="11"/>
    </i>
    <i r="2">
      <x v="133"/>
    </i>
    <i r="2">
      <x v="140"/>
    </i>
    <i r="1">
      <x v="12"/>
    </i>
    <i r="2">
      <x v="88"/>
    </i>
    <i r="2">
      <x v="89"/>
    </i>
    <i r="1">
      <x v="13"/>
    </i>
    <i r="2">
      <x v="20"/>
    </i>
    <i r="2">
      <x v="71"/>
    </i>
    <i r="1">
      <x v="14"/>
    </i>
    <i r="2">
      <x v="124"/>
    </i>
    <i r="1">
      <x v="15"/>
    </i>
    <i r="2">
      <x v="22"/>
    </i>
    <i r="2">
      <x v="23"/>
    </i>
    <i r="2">
      <x v="87"/>
    </i>
    <i r="1">
      <x v="16"/>
    </i>
    <i r="2">
      <x v="132"/>
    </i>
    <i r="1">
      <x v="17"/>
    </i>
    <i r="2">
      <x v="131"/>
    </i>
    <i r="2">
      <x v="145"/>
    </i>
    <i r="1">
      <x v="18"/>
    </i>
    <i r="2">
      <x v="84"/>
    </i>
    <i r="1">
      <x v="19"/>
    </i>
    <i r="2">
      <x v="147"/>
    </i>
    <i r="1">
      <x v="20"/>
    </i>
    <i r="2">
      <x v="117"/>
    </i>
    <i r="1">
      <x v="21"/>
    </i>
    <i r="2">
      <x v="98"/>
    </i>
    <i r="1">
      <x v="22"/>
    </i>
    <i r="2">
      <x v="21"/>
    </i>
    <i r="2">
      <x v="25"/>
    </i>
    <i r="2">
      <x v="31"/>
    </i>
    <i r="2">
      <x v="49"/>
    </i>
    <i r="2">
      <x v="50"/>
    </i>
    <i r="2">
      <x v="51"/>
    </i>
    <i r="2">
      <x v="53"/>
    </i>
    <i r="2">
      <x v="55"/>
    </i>
    <i r="2">
      <x v="56"/>
    </i>
    <i r="2">
      <x v="58"/>
    </i>
    <i r="2">
      <x v="59"/>
    </i>
    <i r="2">
      <x v="61"/>
    </i>
    <i r="2">
      <x v="63"/>
    </i>
    <i r="2">
      <x v="68"/>
    </i>
    <i r="2">
      <x v="94"/>
    </i>
    <i r="2">
      <x v="105"/>
    </i>
    <i r="2">
      <x v="106"/>
    </i>
    <i r="2">
      <x v="111"/>
    </i>
    <i r="2">
      <x v="118"/>
    </i>
    <i r="2">
      <x v="119"/>
    </i>
    <i r="1">
      <x v="23"/>
    </i>
    <i r="2">
      <x v="86"/>
    </i>
    <i r="1">
      <x v="24"/>
    </i>
    <i r="2">
      <x v="26"/>
    </i>
    <i r="1">
      <x v="25"/>
    </i>
    <i r="2">
      <x v="97"/>
    </i>
    <i r="1">
      <x v="26"/>
    </i>
    <i r="2">
      <x v="69"/>
    </i>
    <i r="1">
      <x v="27"/>
    </i>
    <i r="2">
      <x v="11"/>
    </i>
    <i r="2">
      <x v="129"/>
    </i>
    <i r="2">
      <x v="153"/>
    </i>
    <i r="1">
      <x v="28"/>
    </i>
    <i r="2">
      <x v="120"/>
    </i>
    <i r="2">
      <x v="121"/>
    </i>
    <i r="1">
      <x v="29"/>
    </i>
    <i r="2">
      <x v="73"/>
    </i>
    <i r="1">
      <x v="30"/>
    </i>
    <i r="2">
      <x v="101"/>
    </i>
    <i r="1">
      <x v="31"/>
    </i>
    <i r="2">
      <x v="76"/>
    </i>
    <i r="1">
      <x v="32"/>
    </i>
    <i r="2">
      <x v="95"/>
    </i>
    <i r="1">
      <x v="33"/>
    </i>
    <i r="2">
      <x v="27"/>
    </i>
    <i r="1">
      <x v="34"/>
    </i>
    <i r="2">
      <x v="65"/>
    </i>
    <i r="2">
      <x v="77"/>
    </i>
    <i r="2">
      <x v="107"/>
    </i>
    <i r="1">
      <x v="35"/>
    </i>
    <i r="2">
      <x v="108"/>
    </i>
    <i r="1">
      <x v="36"/>
    </i>
    <i r="2">
      <x v="1"/>
    </i>
    <i r="2">
      <x v="152"/>
    </i>
    <i r="1">
      <x v="37"/>
    </i>
    <i r="2">
      <x v="18"/>
    </i>
    <i r="2">
      <x v="32"/>
    </i>
    <i r="2">
      <x v="74"/>
    </i>
    <i r="2">
      <x v="128"/>
    </i>
    <i r="2">
      <x v="130"/>
    </i>
    <i r="1">
      <x v="38"/>
    </i>
    <i r="2">
      <x v="64"/>
    </i>
    <i r="2">
      <x v="85"/>
    </i>
    <i r="2">
      <x v="142"/>
    </i>
    <i r="2">
      <x v="143"/>
    </i>
    <i r="1">
      <x v="39"/>
    </i>
    <i r="2">
      <x v="33"/>
    </i>
    <i r="2">
      <x v="48"/>
    </i>
    <i r="2">
      <x v="80"/>
    </i>
    <i r="2">
      <x v="92"/>
    </i>
    <i r="2">
      <x v="110"/>
    </i>
    <i r="2">
      <x v="113"/>
    </i>
    <i r="2">
      <x v="114"/>
    </i>
    <i r="2">
      <x v="141"/>
    </i>
    <i r="1">
      <x v="40"/>
    </i>
    <i r="2">
      <x v="24"/>
    </i>
    <i r="1">
      <x v="41"/>
    </i>
    <i r="2">
      <x v="66"/>
    </i>
    <i r="1">
      <x v="42"/>
    </i>
    <i r="2">
      <x v="70"/>
    </i>
    <i r="1">
      <x v="43"/>
    </i>
    <i r="2">
      <x v="96"/>
    </i>
    <i r="1">
      <x v="44"/>
    </i>
    <i r="2">
      <x v="122"/>
    </i>
    <i r="2">
      <x v="137"/>
    </i>
    <i r="1">
      <x v="45"/>
    </i>
    <i r="2">
      <x v="138"/>
    </i>
    <i r="1">
      <x v="46"/>
    </i>
    <i r="2">
      <x v="112"/>
    </i>
    <i r="1">
      <x v="47"/>
    </i>
    <i r="2">
      <x v="29"/>
    </i>
    <i r="2">
      <x v="30"/>
    </i>
    <i r="1">
      <x v="48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3"/>
    </i>
    <i r="2">
      <x v="44"/>
    </i>
    <i r="2">
      <x v="45"/>
    </i>
    <i r="2">
      <x v="46"/>
    </i>
    <i r="2">
      <x v="47"/>
    </i>
    <i r="2">
      <x v="144"/>
    </i>
    <i r="2">
      <x v="146"/>
    </i>
    <i r="1">
      <x v="49"/>
    </i>
    <i r="2">
      <x v="67"/>
    </i>
    <i r="2">
      <x v="79"/>
    </i>
    <i r="2">
      <x v="102"/>
    </i>
    <i r="1">
      <x v="50"/>
    </i>
    <i r="2">
      <x v="100"/>
    </i>
    <i r="2">
      <x v="123"/>
    </i>
    <i r="1">
      <x v="51"/>
    </i>
    <i r="2">
      <x v="75"/>
    </i>
    <i r="1">
      <x v="52"/>
    </i>
    <i r="2">
      <x v="39"/>
    </i>
    <i r="2">
      <x v="91"/>
    </i>
    <i r="1">
      <x v="53"/>
    </i>
    <i r="2">
      <x v="82"/>
    </i>
    <i r="2">
      <x v="90"/>
    </i>
    <i r="2">
      <x v="134"/>
    </i>
    <i>
      <x v="2"/>
    </i>
    <i r="1">
      <x v="1"/>
    </i>
    <i r="2">
      <x v="16"/>
    </i>
    <i r="2">
      <x v="17"/>
    </i>
    <i r="1">
      <x v="10"/>
    </i>
    <i r="2">
      <x v="37"/>
    </i>
    <i r="2">
      <x v="38"/>
    </i>
    <i r="2">
      <x v="42"/>
    </i>
    <i r="2">
      <x v="104"/>
    </i>
    <i r="1">
      <x v="11"/>
    </i>
    <i r="2">
      <x v="135"/>
    </i>
    <i r="2">
      <x v="136"/>
    </i>
    <i r="1">
      <x v="22"/>
    </i>
    <i r="2">
      <x v="52"/>
    </i>
    <i r="2">
      <x v="54"/>
    </i>
    <i r="2">
      <x v="60"/>
    </i>
    <i r="2">
      <x v="62"/>
    </i>
    <i r="1">
      <x v="33"/>
    </i>
    <i r="2">
      <x v="28"/>
    </i>
    <i r="1">
      <x v="39"/>
    </i>
    <i r="2">
      <x v="1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8" hier="-1"/>
  </pageFields>
  <dataFields count="6">
    <dataField name="Počet uživatelů na PC" fld="12" baseField="0" baseItem="0" numFmtId="3"/>
    <dataField name="Počet uživatelů na X1" fld="13" baseField="0" baseItem="0" numFmtId="3"/>
    <dataField name="Počet uživatelů na PS4" fld="14" baseField="0" baseItem="0" numFmtId="3"/>
    <dataField name="Průměrné hodnocení uživatelů na PC" fld="9" subtotal="average" baseField="0" baseItem="0" numFmtId="164"/>
    <dataField name="Průměrné hodnocení uživatelů na X1" fld="10" subtotal="average" baseField="0" baseItem="0" numFmtId="164"/>
    <dataField name="Průměrné hodnocení uživatelů na PS4" fld="11" subtotal="average" baseField="0" baseItem="0" numFmtId="164"/>
  </dataFields>
  <formats count="74">
    <format dxfId="73">
      <pivotArea dataOnly="0" labelOnly="1" fieldPosition="0">
        <references count="1">
          <reference field="1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2">
          <reference field="1" count="1" selected="0">
            <x v="1"/>
          </reference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0">
      <pivotArea dataOnly="0" labelOnly="1" fieldPosition="0">
        <references count="2">
          <reference field="1" count="1" selected="0">
            <x v="1"/>
          </reference>
          <reference field="3" count="4">
            <x v="50"/>
            <x v="51"/>
            <x v="52"/>
            <x v="53"/>
          </reference>
        </references>
      </pivotArea>
    </format>
    <format dxfId="69">
      <pivotArea dataOnly="0" labelOnly="1" fieldPosition="0">
        <references count="2">
          <reference field="1" count="1" selected="0">
            <x v="2"/>
          </reference>
          <reference field="3" count="6">
            <x v="1"/>
            <x v="10"/>
            <x v="11"/>
            <x v="22"/>
            <x v="33"/>
            <x v="39"/>
          </reference>
        </references>
      </pivotArea>
    </format>
    <format dxfId="68">
      <pivotArea dataOnly="0" labelOnly="1" fieldPosition="0">
        <references count="3">
          <reference field="0" count="2">
            <x v="57"/>
            <x v="139"/>
          </reference>
          <reference field="1" count="1" selected="0">
            <x v="1"/>
          </reference>
          <reference field="3" count="1" selected="0">
            <x v="0"/>
          </reference>
        </references>
      </pivotArea>
    </format>
    <format dxfId="67">
      <pivotArea dataOnly="0" labelOnly="1" fieldPosition="0">
        <references count="3">
          <reference field="0" count="5">
            <x v="14"/>
            <x v="15"/>
            <x v="19"/>
            <x v="83"/>
            <x v="116"/>
          </reference>
          <reference field="1" count="1" selected="0">
            <x v="1"/>
          </reference>
          <reference field="3" count="1" selected="0">
            <x v="1"/>
          </reference>
        </references>
      </pivotArea>
    </format>
    <format dxfId="66">
      <pivotArea dataOnly="0" labelOnly="1" fieldPosition="0">
        <references count="3">
          <reference field="0" count="1">
            <x v="78"/>
          </reference>
          <reference field="1" count="1" selected="0">
            <x v="1"/>
          </reference>
          <reference field="3" count="1" selected="0">
            <x v="2"/>
          </reference>
        </references>
      </pivotArea>
    </format>
    <format dxfId="65">
      <pivotArea dataOnly="0" labelOnly="1" fieldPosition="0">
        <references count="3">
          <reference field="0" count="1">
            <x v="109"/>
          </reference>
          <reference field="1" count="1" selected="0">
            <x v="1"/>
          </reference>
          <reference field="3" count="1" selected="0">
            <x v="3"/>
          </reference>
        </references>
      </pivotArea>
    </format>
    <format dxfId="64">
      <pivotArea dataOnly="0" labelOnly="1" fieldPosition="0">
        <references count="3">
          <reference field="0" count="1">
            <x v="12"/>
          </reference>
          <reference field="1" count="1" selected="0">
            <x v="1"/>
          </reference>
          <reference field="3" count="1" selected="0">
            <x v="4"/>
          </reference>
        </references>
      </pivotArea>
    </format>
    <format dxfId="63">
      <pivotArea dataOnly="0" labelOnly="1" fieldPosition="0">
        <references count="3">
          <reference field="0" count="1">
            <x v="72"/>
          </reference>
          <reference field="1" count="1" selected="0">
            <x v="1"/>
          </reference>
          <reference field="3" count="1" selected="0">
            <x v="5"/>
          </reference>
        </references>
      </pivotArea>
    </format>
    <format dxfId="62">
      <pivotArea dataOnly="0" labelOnly="1" fieldPosition="0">
        <references count="3">
          <reference field="0" count="1">
            <x v="148"/>
          </reference>
          <reference field="1" count="1" selected="0">
            <x v="1"/>
          </reference>
          <reference field="3" count="1" selected="0">
            <x v="6"/>
          </reference>
        </references>
      </pivotArea>
    </format>
    <format dxfId="61">
      <pivotArea dataOnly="0" labelOnly="1" fieldPosition="0">
        <references count="3">
          <reference field="0" count="1">
            <x v="93"/>
          </reference>
          <reference field="1" count="1" selected="0">
            <x v="1"/>
          </reference>
          <reference field="3" count="1" selected="0">
            <x v="7"/>
          </reference>
        </references>
      </pivotArea>
    </format>
    <format dxfId="60">
      <pivotArea dataOnly="0" labelOnly="1" fieldPosition="0">
        <references count="3">
          <reference field="0" count="1">
            <x v="99"/>
          </reference>
          <reference field="1" count="1" selected="0">
            <x v="1"/>
          </reference>
          <reference field="3" count="1" selected="0">
            <x v="8"/>
          </reference>
        </references>
      </pivotArea>
    </format>
    <format dxfId="59">
      <pivotArea dataOnly="0" labelOnly="1" fieldPosition="0">
        <references count="3">
          <reference field="0" count="1">
            <x v="81"/>
          </reference>
          <reference field="1" count="1" selected="0">
            <x v="1"/>
          </reference>
          <reference field="3" count="1" selected="0">
            <x v="9"/>
          </reference>
        </references>
      </pivotArea>
    </format>
    <format dxfId="58">
      <pivotArea dataOnly="0" labelOnly="1" fieldPosition="0">
        <references count="3">
          <reference field="0" count="13">
            <x v="34"/>
            <x v="35"/>
            <x v="36"/>
            <x v="40"/>
            <x v="41"/>
            <x v="43"/>
            <x v="103"/>
            <x v="125"/>
            <x v="126"/>
            <x v="127"/>
            <x v="149"/>
            <x v="150"/>
            <x v="151"/>
          </reference>
          <reference field="1" count="1" selected="0">
            <x v="1"/>
          </reference>
          <reference field="3" count="1" selected="0">
            <x v="10"/>
          </reference>
        </references>
      </pivotArea>
    </format>
    <format dxfId="57">
      <pivotArea dataOnly="0" labelOnly="1" fieldPosition="0">
        <references count="3">
          <reference field="0" count="2">
            <x v="133"/>
            <x v="140"/>
          </reference>
          <reference field="1" count="1" selected="0">
            <x v="1"/>
          </reference>
          <reference field="3" count="1" selected="0">
            <x v="11"/>
          </reference>
        </references>
      </pivotArea>
    </format>
    <format dxfId="56">
      <pivotArea dataOnly="0" labelOnly="1" fieldPosition="0">
        <references count="3">
          <reference field="0" count="2">
            <x v="88"/>
            <x v="89"/>
          </reference>
          <reference field="1" count="1" selected="0">
            <x v="1"/>
          </reference>
          <reference field="3" count="1" selected="0">
            <x v="12"/>
          </reference>
        </references>
      </pivotArea>
    </format>
    <format dxfId="55">
      <pivotArea dataOnly="0" labelOnly="1" fieldPosition="0">
        <references count="3">
          <reference field="0" count="2">
            <x v="20"/>
            <x v="71"/>
          </reference>
          <reference field="1" count="1" selected="0">
            <x v="1"/>
          </reference>
          <reference field="3" count="1" selected="0">
            <x v="13"/>
          </reference>
        </references>
      </pivotArea>
    </format>
    <format dxfId="54">
      <pivotArea dataOnly="0" labelOnly="1" fieldPosition="0">
        <references count="3">
          <reference field="0" count="1">
            <x v="124"/>
          </reference>
          <reference field="1" count="1" selected="0">
            <x v="1"/>
          </reference>
          <reference field="3" count="1" selected="0">
            <x v="14"/>
          </reference>
        </references>
      </pivotArea>
    </format>
    <format dxfId="53">
      <pivotArea dataOnly="0" labelOnly="1" fieldPosition="0">
        <references count="3">
          <reference field="0" count="3">
            <x v="22"/>
            <x v="23"/>
            <x v="87"/>
          </reference>
          <reference field="1" count="1" selected="0">
            <x v="1"/>
          </reference>
          <reference field="3" count="1" selected="0">
            <x v="15"/>
          </reference>
        </references>
      </pivotArea>
    </format>
    <format dxfId="52">
      <pivotArea dataOnly="0" labelOnly="1" fieldPosition="0">
        <references count="3">
          <reference field="0" count="1">
            <x v="132"/>
          </reference>
          <reference field="1" count="1" selected="0">
            <x v="1"/>
          </reference>
          <reference field="3" count="1" selected="0">
            <x v="16"/>
          </reference>
        </references>
      </pivotArea>
    </format>
    <format dxfId="51">
      <pivotArea dataOnly="0" labelOnly="1" fieldPosition="0">
        <references count="3">
          <reference field="0" count="2">
            <x v="131"/>
            <x v="145"/>
          </reference>
          <reference field="1" count="1" selected="0">
            <x v="1"/>
          </reference>
          <reference field="3" count="1" selected="0">
            <x v="17"/>
          </reference>
        </references>
      </pivotArea>
    </format>
    <format dxfId="50">
      <pivotArea dataOnly="0" labelOnly="1" fieldPosition="0">
        <references count="3">
          <reference field="0" count="1">
            <x v="84"/>
          </reference>
          <reference field="1" count="1" selected="0">
            <x v="1"/>
          </reference>
          <reference field="3" count="1" selected="0">
            <x v="18"/>
          </reference>
        </references>
      </pivotArea>
    </format>
    <format dxfId="49">
      <pivotArea dataOnly="0" labelOnly="1" fieldPosition="0">
        <references count="3">
          <reference field="0" count="1">
            <x v="147"/>
          </reference>
          <reference field="1" count="1" selected="0">
            <x v="1"/>
          </reference>
          <reference field="3" count="1" selected="0">
            <x v="19"/>
          </reference>
        </references>
      </pivotArea>
    </format>
    <format dxfId="48">
      <pivotArea dataOnly="0" labelOnly="1" fieldPosition="0">
        <references count="3">
          <reference field="0" count="1">
            <x v="117"/>
          </reference>
          <reference field="1" count="1" selected="0">
            <x v="1"/>
          </reference>
          <reference field="3" count="1" selected="0">
            <x v="20"/>
          </reference>
        </references>
      </pivotArea>
    </format>
    <format dxfId="47">
      <pivotArea dataOnly="0" labelOnly="1" fieldPosition="0">
        <references count="3">
          <reference field="0" count="1">
            <x v="98"/>
          </reference>
          <reference field="1" count="1" selected="0">
            <x v="1"/>
          </reference>
          <reference field="3" count="1" selected="0">
            <x v="21"/>
          </reference>
        </references>
      </pivotArea>
    </format>
    <format dxfId="46">
      <pivotArea dataOnly="0" labelOnly="1" fieldPosition="0">
        <references count="3">
          <reference field="0" count="20">
            <x v="21"/>
            <x v="25"/>
            <x v="31"/>
            <x v="49"/>
            <x v="50"/>
            <x v="51"/>
            <x v="53"/>
            <x v="55"/>
            <x v="56"/>
            <x v="58"/>
            <x v="59"/>
            <x v="61"/>
            <x v="63"/>
            <x v="68"/>
            <x v="94"/>
            <x v="105"/>
            <x v="106"/>
            <x v="111"/>
            <x v="118"/>
            <x v="119"/>
          </reference>
          <reference field="1" count="1" selected="0">
            <x v="1"/>
          </reference>
          <reference field="3" count="1" selected="0">
            <x v="22"/>
          </reference>
        </references>
      </pivotArea>
    </format>
    <format dxfId="45">
      <pivotArea dataOnly="0" labelOnly="1" fieldPosition="0">
        <references count="3">
          <reference field="0" count="1">
            <x v="86"/>
          </reference>
          <reference field="1" count="1" selected="0">
            <x v="1"/>
          </reference>
          <reference field="3" count="1" selected="0">
            <x v="23"/>
          </reference>
        </references>
      </pivotArea>
    </format>
    <format dxfId="44">
      <pivotArea dataOnly="0" labelOnly="1" fieldPosition="0">
        <references count="3">
          <reference field="0" count="1">
            <x v="26"/>
          </reference>
          <reference field="1" count="1" selected="0">
            <x v="1"/>
          </reference>
          <reference field="3" count="1" selected="0">
            <x v="24"/>
          </reference>
        </references>
      </pivotArea>
    </format>
    <format dxfId="43">
      <pivotArea dataOnly="0" labelOnly="1" fieldPosition="0">
        <references count="3">
          <reference field="0" count="1">
            <x v="97"/>
          </reference>
          <reference field="1" count="1" selected="0">
            <x v="1"/>
          </reference>
          <reference field="3" count="1" selected="0">
            <x v="25"/>
          </reference>
        </references>
      </pivotArea>
    </format>
    <format dxfId="42">
      <pivotArea dataOnly="0" labelOnly="1" fieldPosition="0">
        <references count="3">
          <reference field="0" count="1">
            <x v="69"/>
          </reference>
          <reference field="1" count="1" selected="0">
            <x v="1"/>
          </reference>
          <reference field="3" count="1" selected="0">
            <x v="26"/>
          </reference>
        </references>
      </pivotArea>
    </format>
    <format dxfId="41">
      <pivotArea dataOnly="0" labelOnly="1" fieldPosition="0">
        <references count="3">
          <reference field="0" count="2">
            <x v="11"/>
            <x v="129"/>
          </reference>
          <reference field="1" count="1" selected="0">
            <x v="1"/>
          </reference>
          <reference field="3" count="1" selected="0">
            <x v="27"/>
          </reference>
        </references>
      </pivotArea>
    </format>
    <format dxfId="40">
      <pivotArea dataOnly="0" labelOnly="1" fieldPosition="0">
        <references count="3">
          <reference field="0" count="2">
            <x v="120"/>
            <x v="121"/>
          </reference>
          <reference field="1" count="1" selected="0">
            <x v="1"/>
          </reference>
          <reference field="3" count="1" selected="0">
            <x v="28"/>
          </reference>
        </references>
      </pivotArea>
    </format>
    <format dxfId="39">
      <pivotArea dataOnly="0" labelOnly="1" fieldPosition="0">
        <references count="3">
          <reference field="0" count="1">
            <x v="73"/>
          </reference>
          <reference field="1" count="1" selected="0">
            <x v="1"/>
          </reference>
          <reference field="3" count="1" selected="0">
            <x v="29"/>
          </reference>
        </references>
      </pivotArea>
    </format>
    <format dxfId="38">
      <pivotArea dataOnly="0" labelOnly="1" fieldPosition="0">
        <references count="3">
          <reference field="0" count="1">
            <x v="101"/>
          </reference>
          <reference field="1" count="1" selected="0">
            <x v="1"/>
          </reference>
          <reference field="3" count="1" selected="0">
            <x v="30"/>
          </reference>
        </references>
      </pivotArea>
    </format>
    <format dxfId="37">
      <pivotArea dataOnly="0" labelOnly="1" fieldPosition="0">
        <references count="3">
          <reference field="0" count="1">
            <x v="76"/>
          </reference>
          <reference field="1" count="1" selected="0">
            <x v="1"/>
          </reference>
          <reference field="3" count="1" selected="0">
            <x v="31"/>
          </reference>
        </references>
      </pivotArea>
    </format>
    <format dxfId="36">
      <pivotArea dataOnly="0" labelOnly="1" fieldPosition="0">
        <references count="3">
          <reference field="0" count="1">
            <x v="95"/>
          </reference>
          <reference field="1" count="1" selected="0">
            <x v="1"/>
          </reference>
          <reference field="3" count="1" selected="0">
            <x v="32"/>
          </reference>
        </references>
      </pivotArea>
    </format>
    <format dxfId="35">
      <pivotArea dataOnly="0" labelOnly="1" fieldPosition="0">
        <references count="3">
          <reference field="0" count="1">
            <x v="27"/>
          </reference>
          <reference field="1" count="1" selected="0">
            <x v="1"/>
          </reference>
          <reference field="3" count="1" selected="0">
            <x v="33"/>
          </reference>
        </references>
      </pivotArea>
    </format>
    <format dxfId="34">
      <pivotArea dataOnly="0" labelOnly="1" fieldPosition="0">
        <references count="3">
          <reference field="0" count="3">
            <x v="65"/>
            <x v="77"/>
            <x v="107"/>
          </reference>
          <reference field="1" count="1" selected="0">
            <x v="1"/>
          </reference>
          <reference field="3" count="1" selected="0">
            <x v="34"/>
          </reference>
        </references>
      </pivotArea>
    </format>
    <format dxfId="33">
      <pivotArea dataOnly="0" labelOnly="1" fieldPosition="0">
        <references count="3">
          <reference field="0" count="1">
            <x v="108"/>
          </reference>
          <reference field="1" count="1" selected="0">
            <x v="1"/>
          </reference>
          <reference field="3" count="1" selected="0">
            <x v="35"/>
          </reference>
        </references>
      </pivotArea>
    </format>
    <format dxfId="32">
      <pivotArea dataOnly="0" labelOnly="1" fieldPosition="0">
        <references count="3">
          <reference field="0" count="2">
            <x v="1"/>
            <x v="152"/>
          </reference>
          <reference field="1" count="1" selected="0">
            <x v="1"/>
          </reference>
          <reference field="3" count="1" selected="0">
            <x v="36"/>
          </reference>
        </references>
      </pivotArea>
    </format>
    <format dxfId="31">
      <pivotArea dataOnly="0" labelOnly="1" fieldPosition="0">
        <references count="3">
          <reference field="0" count="5">
            <x v="18"/>
            <x v="32"/>
            <x v="74"/>
            <x v="128"/>
            <x v="130"/>
          </reference>
          <reference field="1" count="1" selected="0">
            <x v="1"/>
          </reference>
          <reference field="3" count="1" selected="0">
            <x v="37"/>
          </reference>
        </references>
      </pivotArea>
    </format>
    <format dxfId="30">
      <pivotArea dataOnly="0" labelOnly="1" fieldPosition="0">
        <references count="3">
          <reference field="0" count="4">
            <x v="64"/>
            <x v="85"/>
            <x v="142"/>
            <x v="143"/>
          </reference>
          <reference field="1" count="1" selected="0">
            <x v="1"/>
          </reference>
          <reference field="3" count="1" selected="0">
            <x v="38"/>
          </reference>
        </references>
      </pivotArea>
    </format>
    <format dxfId="29">
      <pivotArea dataOnly="0" labelOnly="1" fieldPosition="0">
        <references count="3">
          <reference field="0" count="8">
            <x v="33"/>
            <x v="48"/>
            <x v="80"/>
            <x v="92"/>
            <x v="110"/>
            <x v="113"/>
            <x v="114"/>
            <x v="141"/>
          </reference>
          <reference field="1" count="1" selected="0">
            <x v="1"/>
          </reference>
          <reference field="3" count="1" selected="0">
            <x v="39"/>
          </reference>
        </references>
      </pivotArea>
    </format>
    <format dxfId="28">
      <pivotArea dataOnly="0" labelOnly="1" fieldPosition="0">
        <references count="3">
          <reference field="0" count="1">
            <x v="24"/>
          </reference>
          <reference field="1" count="1" selected="0">
            <x v="1"/>
          </reference>
          <reference field="3" count="1" selected="0">
            <x v="40"/>
          </reference>
        </references>
      </pivotArea>
    </format>
    <format dxfId="27">
      <pivotArea dataOnly="0" labelOnly="1" fieldPosition="0">
        <references count="3">
          <reference field="0" count="1">
            <x v="66"/>
          </reference>
          <reference field="1" count="1" selected="0">
            <x v="1"/>
          </reference>
          <reference field="3" count="1" selected="0">
            <x v="41"/>
          </reference>
        </references>
      </pivotArea>
    </format>
    <format dxfId="26">
      <pivotArea dataOnly="0" labelOnly="1" fieldPosition="0">
        <references count="3">
          <reference field="0" count="1">
            <x v="70"/>
          </reference>
          <reference field="1" count="1" selected="0">
            <x v="1"/>
          </reference>
          <reference field="3" count="1" selected="0">
            <x v="42"/>
          </reference>
        </references>
      </pivotArea>
    </format>
    <format dxfId="25">
      <pivotArea dataOnly="0" labelOnly="1" fieldPosition="0">
        <references count="3">
          <reference field="0" count="1">
            <x v="96"/>
          </reference>
          <reference field="1" count="1" selected="0">
            <x v="1"/>
          </reference>
          <reference field="3" count="1" selected="0">
            <x v="43"/>
          </reference>
        </references>
      </pivotArea>
    </format>
    <format dxfId="24">
      <pivotArea dataOnly="0" labelOnly="1" fieldPosition="0">
        <references count="3">
          <reference field="0" count="2">
            <x v="122"/>
            <x v="137"/>
          </reference>
          <reference field="1" count="1" selected="0">
            <x v="1"/>
          </reference>
          <reference field="3" count="1" selected="0">
            <x v="44"/>
          </reference>
        </references>
      </pivotArea>
    </format>
    <format dxfId="23">
      <pivotArea dataOnly="0" labelOnly="1" fieldPosition="0">
        <references count="3">
          <reference field="0" count="1">
            <x v="138"/>
          </reference>
          <reference field="1" count="1" selected="0">
            <x v="1"/>
          </reference>
          <reference field="3" count="1" selected="0">
            <x v="45"/>
          </reference>
        </references>
      </pivotArea>
    </format>
    <format dxfId="22">
      <pivotArea dataOnly="0" labelOnly="1" fieldPosition="0">
        <references count="3">
          <reference field="0" count="1">
            <x v="112"/>
          </reference>
          <reference field="1" count="1" selected="0">
            <x v="1"/>
          </reference>
          <reference field="3" count="1" selected="0">
            <x v="46"/>
          </reference>
        </references>
      </pivotArea>
    </format>
    <format dxfId="21">
      <pivotArea dataOnly="0" labelOnly="1" fieldPosition="0">
        <references count="3">
          <reference field="0" count="2">
            <x v="29"/>
            <x v="30"/>
          </reference>
          <reference field="1" count="1" selected="0">
            <x v="1"/>
          </reference>
          <reference field="3" count="1" selected="0">
            <x v="47"/>
          </reference>
        </references>
      </pivotArea>
    </format>
    <format dxfId="20">
      <pivotArea dataOnly="0" labelOnly="1" fieldPosition="0">
        <references count="3">
          <reference field="0" count="16">
            <x v="2"/>
            <x v="3"/>
            <x v="4"/>
            <x v="5"/>
            <x v="6"/>
            <x v="7"/>
            <x v="8"/>
            <x v="9"/>
            <x v="10"/>
            <x v="13"/>
            <x v="44"/>
            <x v="45"/>
            <x v="46"/>
            <x v="47"/>
            <x v="144"/>
            <x v="146"/>
          </reference>
          <reference field="1" count="1" selected="0">
            <x v="1"/>
          </reference>
          <reference field="3" count="1" selected="0">
            <x v="48"/>
          </reference>
        </references>
      </pivotArea>
    </format>
    <format dxfId="19">
      <pivotArea dataOnly="0" labelOnly="1" fieldPosition="0">
        <references count="3">
          <reference field="0" count="3">
            <x v="67"/>
            <x v="79"/>
            <x v="102"/>
          </reference>
          <reference field="1" count="1" selected="0">
            <x v="1"/>
          </reference>
          <reference field="3" count="1" selected="0">
            <x v="49"/>
          </reference>
        </references>
      </pivotArea>
    </format>
    <format dxfId="18">
      <pivotArea dataOnly="0" labelOnly="1" fieldPosition="0">
        <references count="3">
          <reference field="0" count="2">
            <x v="100"/>
            <x v="123"/>
          </reference>
          <reference field="1" count="1" selected="0">
            <x v="1"/>
          </reference>
          <reference field="3" count="1" selected="0">
            <x v="50"/>
          </reference>
        </references>
      </pivotArea>
    </format>
    <format dxfId="17">
      <pivotArea dataOnly="0" labelOnly="1" fieldPosition="0">
        <references count="3">
          <reference field="0" count="1">
            <x v="75"/>
          </reference>
          <reference field="1" count="1" selected="0">
            <x v="1"/>
          </reference>
          <reference field="3" count="1" selected="0">
            <x v="51"/>
          </reference>
        </references>
      </pivotArea>
    </format>
    <format dxfId="16">
      <pivotArea dataOnly="0" labelOnly="1" fieldPosition="0">
        <references count="3">
          <reference field="0" count="2">
            <x v="39"/>
            <x v="91"/>
          </reference>
          <reference field="1" count="1" selected="0">
            <x v="1"/>
          </reference>
          <reference field="3" count="1" selected="0">
            <x v="52"/>
          </reference>
        </references>
      </pivotArea>
    </format>
    <format dxfId="15">
      <pivotArea dataOnly="0" labelOnly="1" fieldPosition="0">
        <references count="3">
          <reference field="0" count="3">
            <x v="82"/>
            <x v="90"/>
            <x v="134"/>
          </reference>
          <reference field="1" count="1" selected="0">
            <x v="1"/>
          </reference>
          <reference field="3" count="1" selected="0">
            <x v="53"/>
          </reference>
        </references>
      </pivotArea>
    </format>
    <format dxfId="14">
      <pivotArea dataOnly="0" labelOnly="1" fieldPosition="0">
        <references count="3">
          <reference field="0" count="2">
            <x v="16"/>
            <x v="17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13">
      <pivotArea dataOnly="0" labelOnly="1" fieldPosition="0">
        <references count="3">
          <reference field="0" count="4">
            <x v="37"/>
            <x v="38"/>
            <x v="42"/>
            <x v="104"/>
          </reference>
          <reference field="1" count="1" selected="0">
            <x v="2"/>
          </reference>
          <reference field="3" count="1" selected="0">
            <x v="10"/>
          </reference>
        </references>
      </pivotArea>
    </format>
    <format dxfId="12">
      <pivotArea dataOnly="0" labelOnly="1" fieldPosition="0">
        <references count="3">
          <reference field="0" count="2">
            <x v="135"/>
            <x v="136"/>
          </reference>
          <reference field="1" count="1" selected="0">
            <x v="2"/>
          </reference>
          <reference field="3" count="1" selected="0">
            <x v="11"/>
          </reference>
        </references>
      </pivotArea>
    </format>
    <format dxfId="11">
      <pivotArea dataOnly="0" labelOnly="1" fieldPosition="0">
        <references count="3">
          <reference field="0" count="4">
            <x v="52"/>
            <x v="54"/>
            <x v="60"/>
            <x v="62"/>
          </reference>
          <reference field="1" count="1" selected="0">
            <x v="2"/>
          </reference>
          <reference field="3" count="1" selected="0">
            <x v="22"/>
          </reference>
        </references>
      </pivotArea>
    </format>
    <format dxfId="10">
      <pivotArea dataOnly="0" labelOnly="1" fieldPosition="0">
        <references count="3">
          <reference field="0" count="1">
            <x v="28"/>
          </reference>
          <reference field="1" count="1" selected="0">
            <x v="2"/>
          </reference>
          <reference field="3" count="1" selected="0">
            <x v="33"/>
          </reference>
        </references>
      </pivotArea>
    </format>
    <format dxfId="9">
      <pivotArea dataOnly="0" labelOnly="1" fieldPosition="0">
        <references count="3">
          <reference field="0" count="1">
            <x v="115"/>
          </reference>
          <reference field="1" count="1" selected="0">
            <x v="2"/>
          </reference>
          <reference field="3" count="1" selected="0">
            <x v="39"/>
          </reference>
        </references>
      </pivotArea>
    </format>
    <format dxfId="8">
      <pivotArea dataOnly="0" labelOnly="1" fieldPosition="0">
        <references count="3">
          <reference field="0" count="1">
            <x v="129"/>
          </reference>
          <reference field="1" count="1" selected="0">
            <x v="1"/>
          </reference>
          <reference field="3" count="1" selected="0">
            <x v="27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dataOnly="0" labelOnly="1" fieldPosition="0">
        <references count="3">
          <reference field="0" count="1">
            <x v="129"/>
          </reference>
          <reference field="1" count="1" selected="0">
            <x v="1"/>
          </reference>
          <reference field="3" count="1" selected="0">
            <x v="27"/>
          </reference>
        </references>
      </pivotArea>
    </format>
    <format dxfId="0">
      <pivotArea dataOnly="0" labelOnly="1" fieldPosition="0">
        <references count="3">
          <reference field="0" count="1">
            <x v="109"/>
          </reference>
          <reference field="1" count="1" selected="0">
            <x v="1"/>
          </reference>
          <reference field="3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Typ" xr10:uid="{8A64FDB7-10F6-453D-B910-11D875328EE2}" sourceName="Typ">
  <pivotTables>
    <pivotTable tabId="9" name="Kontingenční tabulka2"/>
  </pivotTables>
  <data>
    <tabular pivotCacheId="60047307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Vydavatel" xr10:uid="{54209F3A-4457-4F72-A88D-9FA28257692F}" sourceName="Vydavatel">
  <pivotTables>
    <pivotTable tabId="8" name="Kontingenční tabulka1"/>
  </pivotTables>
  <data>
    <tabular pivotCacheId="600473075">
      <items count="55">
        <i x="12" s="1"/>
        <i x="37" s="1"/>
        <i x="18" s="1"/>
        <i x="53" s="1"/>
        <i x="28" s="1"/>
        <i x="11" s="1"/>
        <i x="25" s="1"/>
        <i x="19" s="1"/>
        <i x="26" s="1"/>
        <i x="24" s="1"/>
        <i x="8" s="1"/>
        <i x="2" s="1"/>
        <i x="43" s="1"/>
        <i x="35" s="1"/>
        <i x="45" s="1"/>
        <i x="47" s="1"/>
        <i x="42" s="1"/>
        <i x="9" s="1"/>
        <i x="52" s="1"/>
        <i x="13" s="1"/>
        <i x="30" s="1"/>
        <i x="40" s="1"/>
        <i x="4" s="1"/>
        <i x="50" s="1"/>
        <i x="46" s="1"/>
        <i x="32" s="1"/>
        <i x="20" s="1"/>
        <i x="23" s="1"/>
        <i x="0" s="1"/>
        <i x="29" s="1"/>
        <i x="49" s="1"/>
        <i x="33" s="1"/>
        <i x="39" s="1"/>
        <i x="21" s="1"/>
        <i x="38" s="1"/>
        <i x="1" s="1"/>
        <i x="31" s="1"/>
        <i x="10" s="1"/>
        <i x="6" s="1"/>
        <i x="5" s="1"/>
        <i x="17" s="1"/>
        <i x="41" s="1"/>
        <i x="27" s="1"/>
        <i x="7" s="1"/>
        <i x="36" s="1"/>
        <i x="22" s="1"/>
        <i x="51" s="1"/>
        <i x="44" s="1"/>
        <i x="3" s="1"/>
        <i x="48" s="1"/>
        <i x="14" s="1"/>
        <i x="15" s="1"/>
        <i x="16" s="1"/>
        <i x="34" s="1"/>
        <i x="5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Typ2" xr10:uid="{E556B62A-E918-4B54-A9BF-042A0B503212}" sourceName="Typ">
  <pivotTables>
    <pivotTable tabId="11" name="Kontingenční tabulka1"/>
  </pivotTables>
  <data>
    <tabular pivotCacheId="1847732911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Typ1" xr10:uid="{98CEA94D-D6A9-4AD9-9323-DFFAF1616DC6}" sourceName="Typ">
  <pivotTables>
    <pivotTable tabId="8" name="Kontingenční tabulka1"/>
  </pivotTables>
  <data>
    <tabular pivotCacheId="60047307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Vývojář" xr10:uid="{6E8CF2F4-9B09-4269-A8CD-322E0B180E40}" sourceName="Vývojář">
  <pivotTables>
    <pivotTable tabId="12" name="Kontingenční tabulka1"/>
  </pivotTables>
  <data>
    <tabular pivotCacheId="1847732911">
      <items count="97">
        <i x="13" s="1"/>
        <i x="85" s="1"/>
        <i x="72" s="1"/>
        <i x="60" s="1"/>
        <i x="12" s="1"/>
        <i x="8" s="1"/>
        <i x="35" s="1"/>
        <i x="52" s="1"/>
        <i x="0" s="1"/>
        <i x="43" s="1"/>
        <i x="87" s="1"/>
        <i x="26" s="1"/>
        <i x="37" s="1"/>
        <i x="2" s="1"/>
        <i x="41" s="1"/>
        <i x="15" s="1"/>
        <i x="47" s="1"/>
        <i x="50" s="1"/>
        <i x="64" s="1"/>
        <i x="83" s="1"/>
        <i x="29" s="1"/>
        <i x="54" s="1"/>
        <i x="9" s="1"/>
        <i x="78" s="1"/>
        <i x="80" s="1"/>
        <i x="5" s="1"/>
        <i x="90" s="1"/>
        <i x="77" s="1"/>
        <i x="71" s="1"/>
        <i x="63" s="1"/>
        <i x="53" s="1"/>
        <i x="79" s="1"/>
        <i x="7" s="1"/>
        <i x="34" s="1"/>
        <i x="95" s="1"/>
        <i x="91" s="1"/>
        <i x="65" s="1"/>
        <i x="94" s="1"/>
        <i x="6" s="1"/>
        <i x="74" s="1"/>
        <i x="62" s="1"/>
        <i x="68" s="1"/>
        <i x="19" s="1"/>
        <i x="21" s="1"/>
        <i x="44" s="1"/>
        <i x="25" s="1"/>
        <i x="49" s="1"/>
        <i x="27" s="1"/>
        <i x="82" s="1"/>
        <i x="18" s="1"/>
        <i x="32" s="1"/>
        <i x="51" s="1"/>
        <i x="16" s="1"/>
        <i x="24" s="1"/>
        <i x="31" s="1"/>
        <i x="42" s="1"/>
        <i x="4" s="1"/>
        <i x="89" s="1"/>
        <i x="10" s="1"/>
        <i x="96" s="1"/>
        <i x="55" s="1"/>
        <i x="92" s="1"/>
        <i x="67" s="1"/>
        <i x="28" s="1"/>
        <i x="46" s="1"/>
        <i x="81" s="1"/>
        <i x="66" s="1"/>
        <i x="86" s="1"/>
        <i x="1" s="1"/>
        <i x="48" s="1"/>
        <i x="14" s="1"/>
        <i x="38" s="1"/>
        <i x="45" s="1"/>
        <i x="23" s="1"/>
        <i x="70" s="1"/>
        <i x="20" s="1"/>
        <i x="33" s="1"/>
        <i x="36" s="1"/>
        <i x="56" s="1"/>
        <i x="57" s="1"/>
        <i x="30" s="1"/>
        <i x="40" s="1"/>
        <i x="59" s="1"/>
        <i x="22" s="1"/>
        <i x="88" s="1"/>
        <i x="93" s="1"/>
        <i x="61" s="1"/>
        <i x="11" s="1"/>
        <i x="3" s="1"/>
        <i x="58" s="1"/>
        <i x="69" s="1"/>
        <i x="73" s="1"/>
        <i x="84" s="1"/>
        <i x="75" s="1"/>
        <i x="17" s="1"/>
        <i x="39" s="1"/>
        <i x="76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ydavatel" xr10:uid="{A65150CA-4F7D-429E-84A7-4413D68DFB8B}" cache="Průřez_Vydavatel" caption="Vydavatel" startItem="1" rowHeight="241300"/>
  <slicer name="Typ 1" xr10:uid="{ED71E2FB-1974-4DC3-B9F6-8D85DC217AAA}" cache="Průřez_Typ1" caption="Typ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" xr10:uid="{85B3E9C6-7B32-4D8C-8704-BEDF833F414A}" cache="Průřez_Typ" caption="Typ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 2" xr10:uid="{DF30A43A-7EB8-4C56-BE77-F71A082C8142}" cache="Průřez_Typ2" caption="Typ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ývojář" xr10:uid="{8EDD4941-E0AA-405A-B8A9-4213FFA02DDD}" cache="Průřez_Vývojář" caption="Vývojář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495AD8-55C2-4D8F-B8C1-A73C8FDE56A1}" name="SeznamHer" displayName="SeznamHer" ref="A13:R167" totalsRowShown="0" headerRowDxfId="122" dataDxfId="121" headerRowCellStyle="Zvýraznění 1">
  <tableColumns count="18">
    <tableColumn id="1" xr3:uid="{CBB844DD-E6A3-4A7F-B2BA-170CE47BBD6D}" name="Název" dataDxfId="120"/>
    <tableColumn id="2" xr3:uid="{3DF900CA-6CB5-4C51-8AB1-E875253EF116}" name="Typ" dataDxfId="119"/>
    <tableColumn id="3" xr3:uid="{3E902850-8A87-4754-BF31-BB422D28B2D7}" name="Vývojář" dataDxfId="118"/>
    <tableColumn id="4" xr3:uid="{6BBFE28A-19D4-46D9-970D-12F2F398EDFC}" name="Vydavatel" dataDxfId="117"/>
    <tableColumn id="5" xr3:uid="{BF7144F4-5811-4363-B019-DD95C1CD5235}" name="Datum vydání" dataDxfId="116"/>
    <tableColumn id="6" xr3:uid="{D1B615D7-3601-40BA-AAE6-3FE8124C196B}" name="Žánry" dataDxfId="115"/>
    <tableColumn id="7" xr3:uid="{387187EB-A8F1-4815-B9C3-4C2A9864FF7A}" name="Platformy" dataDxfId="114"/>
    <tableColumn id="8" xr3:uid="{850EBD28-273F-40A2-B6BF-E79D6C4126C1}" name="Průměrná doba dohrání" dataDxfId="113"/>
    <tableColumn id="9" xr3:uid="{B23C181B-AF79-4B48-AB47-14623655A4BB}" name="Hodnocení ESRB" dataDxfId="112"/>
    <tableColumn id="10" xr3:uid="{6F1FE2C4-651D-4505-93CF-D3AE23C34F67}" name="Hodnocení uživatelů (PC)" dataDxfId="111"/>
    <tableColumn id="11" xr3:uid="{1B51C3BB-2A9A-4B22-92EF-659CF503D92B}" name="Hodnocení uživatelů (X1)" dataDxfId="110"/>
    <tableColumn id="12" xr3:uid="{C92CC3FE-6519-48E9-80F5-55ADE7D2E54B}" name="Hodnocení uživatelů (PS4)" dataDxfId="109"/>
    <tableColumn id="13" xr3:uid="{1EA3E8FC-9D88-43FD-8257-39FA94AF5817}" name="Počet uživatelů (PC)" dataDxfId="108"/>
    <tableColumn id="14" xr3:uid="{6FECBEE2-7F4E-4BA8-97BC-B17D14268B4C}" name="Počet uživatelů (X1)" dataDxfId="107"/>
    <tableColumn id="15" xr3:uid="{5B49391F-4EA2-413D-983E-B92B08B0CF66}" name="Počet uživatelů (PS4)" dataDxfId="106"/>
    <tableColumn id="16" xr3:uid="{249570C8-0EBE-4AF3-B89A-9134248F14F7}" name="Počet prodaných kusů (PC)" dataDxfId="105"/>
    <tableColumn id="17" xr3:uid="{45BC5276-C963-4CE8-BCDC-15F24F6786EC}" name="Počet prodaných kusů (X1)" dataDxfId="104"/>
    <tableColumn id="18" xr3:uid="{1989C3DF-8B31-45C9-A18B-0673DB6AA161}" name="Počet prodaných kusů (PS4)" dataDxfId="10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ní_časová_osa_Datum_vydání" xr10:uid="{A42F248F-7CC2-4436-AEE1-04A92F59F1F7}" sourceName="Datum vydání">
  <pivotTables>
    <pivotTable tabId="8" name="Kontingenční tabulka1"/>
  </pivotTables>
  <state minimalRefreshVersion="6" lastRefreshVersion="6" pivotCacheId="600473075" filterType="unknown">
    <bounds startDate="1998-01-01T00:00:00" endDate="2019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ní_časová_osa_Datum_vydání1" xr10:uid="{7FCC699A-8F28-41E7-B856-C7F4CE4FEF61}" sourceName="Datum vydání">
  <pivotTables>
    <pivotTable tabId="9" name="Kontingenční tabulka2"/>
  </pivotTables>
  <state minimalRefreshVersion="6" lastRefreshVersion="6" pivotCacheId="600473075" filterType="unknown">
    <bounds startDate="1998-01-01T00:00:00" endDate="2019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ní_časová_osa_Datum_vydání2" xr10:uid="{BF9D89E3-BDFF-415E-AE16-EBB0746DA474}" sourceName="Datum vydání">
  <pivotTables>
    <pivotTable tabId="11" name="Kontingenční tabulka1"/>
  </pivotTables>
  <state minimalRefreshVersion="6" lastRefreshVersion="6" pivotCacheId="1847732911" filterType="unknown">
    <bounds startDate="1998-01-01T00:00:00" endDate="2019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ní_časová_osa_Datum_vydání3" xr10:uid="{4580E7DE-7B56-483F-8534-9930DA018B89}" sourceName="Datum vydání">
  <pivotTables>
    <pivotTable tabId="12" name="Kontingenční tabulka1"/>
  </pivotTables>
  <state minimalRefreshVersion="6" lastRefreshVersion="6" pivotCacheId="1847732911" filterType="unknown">
    <bounds startDate="1998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vydání" xr10:uid="{66514393-5B75-4865-937A-0712F6E0FE13}" cache="Nativní_časová_osa_Datum_vydání" caption="Datum vydání" level="0" selectionLevel="0" scrollPosition="2003-06-17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vydání 1" xr10:uid="{1B8CEA16-B4F1-430C-9EA8-96A0AEC7BE79}" cache="Nativní_časová_osa_Datum_vydání1" caption="Datum vydání" level="0" selectionLevel="0" scrollPosition="1998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vydání 2" xr10:uid="{906F39DC-6840-462B-9166-53E3F014321E}" cache="Nativní_časová_osa_Datum_vydání2" caption="Datum vydání" level="0" selectionLevel="2" scrollPosition="2006-11-25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vydání 3" xr10:uid="{1E3B63AB-A3A8-416F-A232-364A83A84E6F}" cache="Nativní_časová_osa_Datum_vydání3" caption="Datum vydání" level="0" selectionLevel="0" scrollPosition="1998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9" Type="http://schemas.openxmlformats.org/officeDocument/2006/relationships/ctrlProp" Target="../ctrlProps/ctrlProp63.xml"/><Relationship Id="rId3" Type="http://schemas.openxmlformats.org/officeDocument/2006/relationships/ctrlProp" Target="../ctrlProps/ctrlProp27.xml"/><Relationship Id="rId21" Type="http://schemas.openxmlformats.org/officeDocument/2006/relationships/ctrlProp" Target="../ctrlProps/ctrlProp45.xml"/><Relationship Id="rId34" Type="http://schemas.openxmlformats.org/officeDocument/2006/relationships/ctrlProp" Target="../ctrlProps/ctrlProp58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33" Type="http://schemas.openxmlformats.org/officeDocument/2006/relationships/ctrlProp" Target="../ctrlProps/ctrlProp57.xml"/><Relationship Id="rId38" Type="http://schemas.openxmlformats.org/officeDocument/2006/relationships/ctrlProp" Target="../ctrlProps/ctrlProp6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29" Type="http://schemas.openxmlformats.org/officeDocument/2006/relationships/ctrlProp" Target="../ctrlProps/ctrlProp53.xml"/><Relationship Id="rId41" Type="http://schemas.openxmlformats.org/officeDocument/2006/relationships/table" Target="../tables/table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32" Type="http://schemas.openxmlformats.org/officeDocument/2006/relationships/ctrlProp" Target="../ctrlProps/ctrlProp56.xml"/><Relationship Id="rId37" Type="http://schemas.openxmlformats.org/officeDocument/2006/relationships/ctrlProp" Target="../ctrlProps/ctrlProp61.xml"/><Relationship Id="rId40" Type="http://schemas.openxmlformats.org/officeDocument/2006/relationships/ctrlProp" Target="../ctrlProps/ctrlProp64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28" Type="http://schemas.openxmlformats.org/officeDocument/2006/relationships/ctrlProp" Target="../ctrlProps/ctrlProp52.xml"/><Relationship Id="rId36" Type="http://schemas.openxmlformats.org/officeDocument/2006/relationships/ctrlProp" Target="../ctrlProps/ctrlProp60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31" Type="http://schemas.openxmlformats.org/officeDocument/2006/relationships/ctrlProp" Target="../ctrlProps/ctrlProp55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Relationship Id="rId27" Type="http://schemas.openxmlformats.org/officeDocument/2006/relationships/ctrlProp" Target="../ctrlProps/ctrlProp51.xml"/><Relationship Id="rId30" Type="http://schemas.openxmlformats.org/officeDocument/2006/relationships/ctrlProp" Target="../ctrlProps/ctrlProp54.xml"/><Relationship Id="rId35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Relationship Id="rId4" Type="http://schemas.microsoft.com/office/2011/relationships/timeline" Target="../timelines/timeline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4.xml"/><Relationship Id="rId4" Type="http://schemas.microsoft.com/office/2011/relationships/timeline" Target="../timelines/timelin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4DE10-FAA9-4A45-BED1-38355BE421CA}">
  <sheetPr codeName="List1"/>
  <dimension ref="B1:P22"/>
  <sheetViews>
    <sheetView workbookViewId="0">
      <selection activeCell="J33" sqref="J33"/>
    </sheetView>
  </sheetViews>
  <sheetFormatPr defaultRowHeight="15" x14ac:dyDescent="0.25"/>
  <cols>
    <col min="1" max="1" width="9.140625" style="1" customWidth="1"/>
    <col min="2" max="2" width="22.42578125" style="1" customWidth="1"/>
    <col min="3" max="16384" width="9.140625" style="1"/>
  </cols>
  <sheetData>
    <row r="1" spans="2:16" ht="21.75" customHeight="1" x14ac:dyDescent="0.25"/>
    <row r="2" spans="2:16" ht="21.75" customHeight="1" thickBot="1" x14ac:dyDescent="0.3"/>
    <row r="3" spans="2:16" ht="21" customHeight="1" thickTop="1" x14ac:dyDescent="0.25">
      <c r="B3" s="117" t="s">
        <v>365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9"/>
    </row>
    <row r="4" spans="2:16" ht="15" customHeight="1" x14ac:dyDescent="0.25">
      <c r="B4" s="120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2"/>
    </row>
    <row r="5" spans="2:16" x14ac:dyDescent="0.25"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</row>
    <row r="6" spans="2:16" x14ac:dyDescent="0.25">
      <c r="B6" s="5" t="s">
        <v>454</v>
      </c>
      <c r="C6" s="123" t="s">
        <v>350</v>
      </c>
      <c r="D6" s="123"/>
      <c r="E6" s="123"/>
      <c r="F6" s="123"/>
      <c r="G6" s="123"/>
      <c r="H6" s="123"/>
      <c r="I6" s="123"/>
      <c r="J6" s="123"/>
      <c r="K6" s="123"/>
      <c r="L6" s="3"/>
      <c r="M6" s="6" t="s">
        <v>351</v>
      </c>
      <c r="N6" s="123" t="s">
        <v>352</v>
      </c>
      <c r="O6" s="123"/>
      <c r="P6" s="4"/>
    </row>
    <row r="7" spans="2:16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4"/>
    </row>
    <row r="8" spans="2:16" x14ac:dyDescent="0.25">
      <c r="B8" s="5" t="s">
        <v>455</v>
      </c>
      <c r="C8" s="123" t="s">
        <v>367</v>
      </c>
      <c r="D8" s="123"/>
      <c r="E8" s="123"/>
      <c r="F8" s="123"/>
      <c r="G8" s="123"/>
      <c r="H8" s="123"/>
      <c r="I8" s="123"/>
      <c r="J8" s="123"/>
      <c r="K8" s="123"/>
      <c r="L8" s="3"/>
      <c r="M8" s="3"/>
      <c r="N8" s="3"/>
      <c r="O8" s="3"/>
      <c r="P8" s="4"/>
    </row>
    <row r="9" spans="2:16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4"/>
    </row>
    <row r="10" spans="2:16" x14ac:dyDescent="0.25">
      <c r="B10" s="5" t="s">
        <v>456</v>
      </c>
      <c r="C10" s="124" t="s">
        <v>493</v>
      </c>
      <c r="D10" s="124"/>
      <c r="E10" s="124"/>
      <c r="F10" s="124"/>
      <c r="G10" s="124"/>
      <c r="H10" s="124"/>
      <c r="I10" s="124"/>
      <c r="J10" s="124"/>
      <c r="K10" s="124"/>
      <c r="L10" s="3"/>
      <c r="M10" s="3"/>
      <c r="N10" s="3"/>
      <c r="O10" s="3"/>
      <c r="P10" s="4"/>
    </row>
    <row r="11" spans="2:16" x14ac:dyDescent="0.25">
      <c r="B11" s="2"/>
      <c r="C11" s="124"/>
      <c r="D11" s="124"/>
      <c r="E11" s="124"/>
      <c r="F11" s="124"/>
      <c r="G11" s="124"/>
      <c r="H11" s="124"/>
      <c r="I11" s="124"/>
      <c r="J11" s="124"/>
      <c r="K11" s="124"/>
      <c r="L11" s="3"/>
      <c r="M11" s="3"/>
      <c r="N11" s="3"/>
      <c r="O11" s="3"/>
      <c r="P11" s="4"/>
    </row>
    <row r="12" spans="2:16" x14ac:dyDescent="0.25">
      <c r="B12" s="2"/>
      <c r="C12" s="124"/>
      <c r="D12" s="124"/>
      <c r="E12" s="124"/>
      <c r="F12" s="124"/>
      <c r="G12" s="124"/>
      <c r="H12" s="124"/>
      <c r="I12" s="124"/>
      <c r="J12" s="124"/>
      <c r="K12" s="124"/>
      <c r="L12" s="3"/>
      <c r="M12" s="3"/>
      <c r="N12" s="3"/>
      <c r="O12" s="3"/>
      <c r="P12" s="4"/>
    </row>
    <row r="13" spans="2:16" x14ac:dyDescent="0.25">
      <c r="B13" s="2"/>
      <c r="C13" s="124"/>
      <c r="D13" s="124"/>
      <c r="E13" s="124"/>
      <c r="F13" s="124"/>
      <c r="G13" s="124"/>
      <c r="H13" s="124"/>
      <c r="I13" s="124"/>
      <c r="J13" s="124"/>
      <c r="K13" s="124"/>
      <c r="L13" s="3"/>
      <c r="M13" s="3"/>
      <c r="N13" s="3"/>
      <c r="O13" s="3"/>
      <c r="P13" s="4"/>
    </row>
    <row r="14" spans="2:16" x14ac:dyDescent="0.25">
      <c r="B14" s="2"/>
      <c r="C14" s="124"/>
      <c r="D14" s="124"/>
      <c r="E14" s="124"/>
      <c r="F14" s="124"/>
      <c r="G14" s="124"/>
      <c r="H14" s="124"/>
      <c r="I14" s="124"/>
      <c r="J14" s="124"/>
      <c r="K14" s="124"/>
      <c r="L14" s="3"/>
      <c r="M14" s="3"/>
      <c r="N14" s="3"/>
      <c r="O14" s="3"/>
      <c r="P14" s="4"/>
    </row>
    <row r="15" spans="2:16" x14ac:dyDescent="0.25">
      <c r="B15" s="2"/>
      <c r="C15" s="124"/>
      <c r="D15" s="124"/>
      <c r="E15" s="124"/>
      <c r="F15" s="124"/>
      <c r="G15" s="124"/>
      <c r="H15" s="124"/>
      <c r="I15" s="124"/>
      <c r="J15" s="124"/>
      <c r="K15" s="124"/>
      <c r="L15" s="3"/>
      <c r="M15" s="3"/>
      <c r="N15" s="3"/>
      <c r="O15" s="3"/>
      <c r="P15" s="4"/>
    </row>
    <row r="16" spans="2:16" x14ac:dyDescent="0.25"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4"/>
    </row>
    <row r="17" spans="2:16" x14ac:dyDescent="0.25">
      <c r="B17" s="5" t="s">
        <v>457</v>
      </c>
      <c r="C17" s="124" t="s">
        <v>366</v>
      </c>
      <c r="D17" s="124"/>
      <c r="E17" s="124"/>
      <c r="F17" s="124"/>
      <c r="G17" s="124"/>
      <c r="H17" s="124"/>
      <c r="I17" s="124"/>
      <c r="J17" s="124"/>
      <c r="K17" s="124"/>
      <c r="L17" s="3"/>
      <c r="M17" s="3"/>
      <c r="N17" s="3"/>
      <c r="O17" s="3"/>
      <c r="P17" s="4"/>
    </row>
    <row r="18" spans="2:16" x14ac:dyDescent="0.25">
      <c r="B18" s="2"/>
      <c r="C18" s="124"/>
      <c r="D18" s="124"/>
      <c r="E18" s="124"/>
      <c r="F18" s="124"/>
      <c r="G18" s="124"/>
      <c r="H18" s="124"/>
      <c r="I18" s="124"/>
      <c r="J18" s="124"/>
      <c r="K18" s="124"/>
      <c r="L18" s="3"/>
      <c r="M18" s="3"/>
      <c r="N18" s="3"/>
      <c r="O18" s="3"/>
      <c r="P18" s="4"/>
    </row>
    <row r="19" spans="2:16" x14ac:dyDescent="0.25">
      <c r="B19" s="2"/>
      <c r="C19" s="62"/>
      <c r="D19" s="62"/>
      <c r="E19" s="62"/>
      <c r="F19" s="62"/>
      <c r="G19" s="62"/>
      <c r="H19" s="62"/>
      <c r="I19" s="62"/>
      <c r="J19" s="62"/>
      <c r="K19" s="62"/>
      <c r="L19" s="3"/>
      <c r="M19" s="3"/>
      <c r="N19" s="3"/>
      <c r="O19" s="3"/>
      <c r="P19" s="4"/>
    </row>
    <row r="20" spans="2:16" x14ac:dyDescent="0.25">
      <c r="B20" s="63" t="s">
        <v>494</v>
      </c>
      <c r="C20" s="114" t="s">
        <v>495</v>
      </c>
      <c r="D20" s="115"/>
      <c r="E20" s="115"/>
      <c r="F20" s="115"/>
      <c r="G20" s="115"/>
      <c r="H20" s="115"/>
      <c r="I20" s="115"/>
      <c r="J20" s="115"/>
      <c r="K20" s="116"/>
      <c r="L20" s="3"/>
      <c r="M20" s="3"/>
      <c r="N20" s="3"/>
      <c r="O20" s="3"/>
      <c r="P20" s="4"/>
    </row>
    <row r="21" spans="2:16" ht="15.75" thickBot="1" x14ac:dyDescent="0.3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"/>
    </row>
    <row r="22" spans="2:16" ht="15.75" thickTop="1" x14ac:dyDescent="0.25"/>
  </sheetData>
  <sheetProtection algorithmName="SHA-512" hashValue="YexCnqpXlJ5eqF8sZ9cQ3wTHW5LmwS/bLU2g7J7pkkzqBgIHC+ZRMh2QTmP10uVguORHvE0LshQRnACcSdZN4g==" saltValue="a5CiRlBtKg4Pqzdg8BcJ7Q==" spinCount="100000" sheet="1" objects="1" scenarios="1"/>
  <mergeCells count="7">
    <mergeCell ref="C20:K20"/>
    <mergeCell ref="B3:P4"/>
    <mergeCell ref="C6:K6"/>
    <mergeCell ref="C8:K8"/>
    <mergeCell ref="N6:O6"/>
    <mergeCell ref="C17:K18"/>
    <mergeCell ref="C10:K15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1688-F2BD-4B2D-9C77-CAB4E0F90B9E}">
  <sheetPr codeName="List2"/>
  <dimension ref="B1:M35"/>
  <sheetViews>
    <sheetView zoomScaleNormal="100" workbookViewId="0">
      <selection activeCell="K11" sqref="K11"/>
    </sheetView>
  </sheetViews>
  <sheetFormatPr defaultRowHeight="15" x14ac:dyDescent="0.25"/>
  <cols>
    <col min="1" max="1" width="9.140625" style="1"/>
    <col min="2" max="2" width="7.5703125" style="1" customWidth="1"/>
    <col min="3" max="3" width="24.42578125" style="1" customWidth="1"/>
    <col min="4" max="4" width="28.5703125" style="1" customWidth="1"/>
    <col min="5" max="5" width="9.85546875" style="1" customWidth="1"/>
    <col min="6" max="6" width="17" style="1" customWidth="1"/>
    <col min="7" max="7" width="28.5703125" style="1" customWidth="1"/>
    <col min="8" max="8" width="9.140625" style="1"/>
    <col min="9" max="9" width="7.28515625" style="1" customWidth="1"/>
    <col min="10" max="10" width="26.140625" style="1" customWidth="1"/>
    <col min="11" max="11" width="28.5703125" style="1" customWidth="1"/>
    <col min="12" max="12" width="9.85546875" style="1" customWidth="1"/>
    <col min="13" max="13" width="16.85546875" style="1" customWidth="1"/>
    <col min="14" max="14" width="28.5703125" style="1" customWidth="1"/>
    <col min="15" max="15" width="13" style="1" customWidth="1"/>
    <col min="16" max="17" width="9.140625" style="1"/>
    <col min="18" max="18" width="10" style="1" customWidth="1"/>
    <col min="19" max="19" width="10.140625" style="1" bestFit="1" customWidth="1"/>
    <col min="20" max="20" width="9.140625" style="1"/>
    <col min="21" max="21" width="10.85546875" style="1" bestFit="1" customWidth="1"/>
    <col min="22" max="16384" width="9.140625" style="1"/>
  </cols>
  <sheetData>
    <row r="1" spans="2:9" ht="21.75" customHeight="1" x14ac:dyDescent="0.25"/>
    <row r="2" spans="2:9" ht="21.75" customHeight="1" x14ac:dyDescent="0.25"/>
    <row r="3" spans="2:9" x14ac:dyDescent="0.25">
      <c r="B3" s="125" t="s">
        <v>390</v>
      </c>
      <c r="C3" s="125"/>
      <c r="D3" s="125"/>
    </row>
    <row r="4" spans="2:9" ht="15" customHeight="1" thickBot="1" x14ac:dyDescent="0.3">
      <c r="B4" s="126"/>
      <c r="C4" s="126"/>
      <c r="D4" s="126"/>
    </row>
    <row r="5" spans="2:9" ht="15" customHeight="1" thickTop="1" thickBot="1" x14ac:dyDescent="0.3">
      <c r="B5" s="10"/>
      <c r="C5" s="10"/>
      <c r="D5" s="10"/>
    </row>
    <row r="6" spans="2:9" ht="23.25" customHeight="1" thickTop="1" x14ac:dyDescent="0.25">
      <c r="B6" s="11"/>
      <c r="C6" s="12"/>
      <c r="D6" s="12"/>
      <c r="E6" s="12"/>
      <c r="F6" s="12"/>
      <c r="G6" s="12"/>
      <c r="H6" s="12"/>
      <c r="I6" s="13"/>
    </row>
    <row r="7" spans="2:9" x14ac:dyDescent="0.25">
      <c r="B7" s="14"/>
      <c r="C7" s="93" t="s">
        <v>378</v>
      </c>
      <c r="D7" s="16"/>
      <c r="E7" s="17"/>
      <c r="F7" s="17" t="s">
        <v>385</v>
      </c>
      <c r="G7" s="17"/>
      <c r="H7" s="17"/>
      <c r="I7" s="18"/>
    </row>
    <row r="8" spans="2:9" x14ac:dyDescent="0.25">
      <c r="B8" s="14"/>
      <c r="C8" s="15"/>
      <c r="D8" s="17"/>
      <c r="E8" s="17"/>
      <c r="F8" s="17"/>
      <c r="G8" s="17"/>
      <c r="H8" s="17"/>
      <c r="I8" s="18"/>
    </row>
    <row r="9" spans="2:9" x14ac:dyDescent="0.25">
      <c r="B9" s="14"/>
      <c r="C9" s="15" t="s">
        <v>379</v>
      </c>
      <c r="D9" s="17"/>
      <c r="E9" s="17"/>
      <c r="F9" s="17"/>
      <c r="G9" s="17"/>
      <c r="H9" s="17"/>
      <c r="I9" s="18"/>
    </row>
    <row r="10" spans="2:9" x14ac:dyDescent="0.25">
      <c r="B10" s="14"/>
      <c r="C10" s="15"/>
      <c r="D10" s="17"/>
      <c r="E10" s="17"/>
      <c r="F10" s="17"/>
      <c r="G10" s="17"/>
      <c r="H10" s="17"/>
      <c r="I10" s="18"/>
    </row>
    <row r="11" spans="2:9" x14ac:dyDescent="0.25">
      <c r="B11" s="14"/>
      <c r="C11" s="15" t="s">
        <v>382</v>
      </c>
      <c r="D11" s="19"/>
      <c r="E11" s="17"/>
      <c r="F11" s="17"/>
      <c r="G11" s="17"/>
      <c r="H11" s="17"/>
      <c r="I11" s="18"/>
    </row>
    <row r="12" spans="2:9" x14ac:dyDescent="0.25">
      <c r="B12" s="14"/>
      <c r="C12" s="15"/>
      <c r="D12" s="17"/>
      <c r="E12" s="17"/>
      <c r="F12" s="17"/>
      <c r="G12" s="17"/>
      <c r="H12" s="17"/>
      <c r="I12" s="18"/>
    </row>
    <row r="13" spans="2:9" x14ac:dyDescent="0.25">
      <c r="B13" s="14"/>
      <c r="C13" s="15" t="s">
        <v>380</v>
      </c>
      <c r="D13" s="16"/>
      <c r="E13" s="17"/>
      <c r="F13" s="17"/>
      <c r="G13" s="17"/>
      <c r="H13" s="17"/>
      <c r="I13" s="18"/>
    </row>
    <row r="14" spans="2:9" x14ac:dyDescent="0.25">
      <c r="B14" s="14"/>
      <c r="C14" s="15"/>
      <c r="D14" s="17"/>
      <c r="E14" s="17"/>
      <c r="F14" s="20" t="s">
        <v>397</v>
      </c>
      <c r="G14" s="17"/>
      <c r="H14" s="17"/>
      <c r="I14" s="18"/>
    </row>
    <row r="15" spans="2:9" x14ac:dyDescent="0.25">
      <c r="B15" s="14"/>
      <c r="C15" s="15" t="s">
        <v>381</v>
      </c>
      <c r="D15" s="16"/>
      <c r="E15" s="17"/>
      <c r="F15" s="17"/>
      <c r="G15" s="17"/>
      <c r="H15" s="17"/>
      <c r="I15" s="18"/>
    </row>
    <row r="16" spans="2:9" x14ac:dyDescent="0.25">
      <c r="B16" s="14"/>
      <c r="C16" s="15"/>
      <c r="D16" s="17"/>
      <c r="E16" s="17"/>
      <c r="F16" s="17"/>
      <c r="G16" s="17"/>
      <c r="H16" s="17"/>
      <c r="I16" s="18"/>
    </row>
    <row r="17" spans="2:13" x14ac:dyDescent="0.25">
      <c r="B17" s="14"/>
      <c r="C17" s="21" t="s">
        <v>383</v>
      </c>
      <c r="D17" s="22"/>
      <c r="E17" s="17"/>
      <c r="F17" s="17"/>
      <c r="G17" s="17"/>
      <c r="H17" s="17"/>
      <c r="I17" s="18"/>
    </row>
    <row r="18" spans="2:13" x14ac:dyDescent="0.25">
      <c r="B18" s="14"/>
      <c r="C18" s="15"/>
      <c r="D18" s="17"/>
      <c r="E18" s="17"/>
      <c r="F18" s="17"/>
      <c r="G18" s="17"/>
      <c r="H18" s="17"/>
      <c r="I18" s="18"/>
      <c r="M18" s="23"/>
    </row>
    <row r="19" spans="2:13" x14ac:dyDescent="0.25">
      <c r="B19" s="14"/>
      <c r="C19" s="15" t="s">
        <v>384</v>
      </c>
      <c r="D19" s="17"/>
      <c r="E19" s="17"/>
      <c r="F19" s="17"/>
      <c r="G19" s="17"/>
      <c r="H19" s="17"/>
      <c r="I19" s="18"/>
    </row>
    <row r="20" spans="2:13" x14ac:dyDescent="0.25">
      <c r="B20" s="14"/>
      <c r="C20" s="15"/>
      <c r="D20" s="17"/>
      <c r="E20" s="17"/>
      <c r="F20" s="17"/>
      <c r="G20" s="17"/>
      <c r="H20" s="17"/>
      <c r="I20" s="18"/>
    </row>
    <row r="21" spans="2:13" ht="0.75" customHeight="1" x14ac:dyDescent="0.25">
      <c r="B21" s="14"/>
      <c r="C21" s="24"/>
      <c r="D21" s="25"/>
      <c r="E21" s="25"/>
      <c r="F21" s="25"/>
      <c r="G21" s="25"/>
      <c r="H21" s="25"/>
      <c r="I21" s="18"/>
    </row>
    <row r="22" spans="2:13" x14ac:dyDescent="0.25">
      <c r="B22" s="14"/>
      <c r="C22" s="15"/>
      <c r="D22" s="17"/>
      <c r="E22" s="17"/>
      <c r="F22" s="17"/>
      <c r="G22" s="17"/>
      <c r="H22" s="17"/>
      <c r="I22" s="18"/>
    </row>
    <row r="23" spans="2:13" x14ac:dyDescent="0.25">
      <c r="B23" s="14"/>
      <c r="C23" s="20" t="s">
        <v>404</v>
      </c>
      <c r="D23" s="26"/>
      <c r="E23" s="17"/>
      <c r="F23" s="27" t="s">
        <v>417</v>
      </c>
      <c r="G23" s="28"/>
      <c r="H23" s="17"/>
      <c r="I23" s="18"/>
    </row>
    <row r="24" spans="2:13" x14ac:dyDescent="0.25">
      <c r="B24" s="14"/>
      <c r="C24" s="17"/>
      <c r="D24" s="17"/>
      <c r="E24" s="17"/>
      <c r="F24" s="17"/>
      <c r="G24" s="17"/>
      <c r="H24" s="17"/>
      <c r="I24" s="18"/>
    </row>
    <row r="25" spans="2:13" x14ac:dyDescent="0.25">
      <c r="B25" s="14"/>
      <c r="C25" s="27" t="s">
        <v>405</v>
      </c>
      <c r="D25" s="26"/>
      <c r="E25" s="17"/>
      <c r="F25" s="27" t="s">
        <v>418</v>
      </c>
      <c r="G25" s="28"/>
      <c r="H25" s="17"/>
      <c r="I25" s="18"/>
    </row>
    <row r="26" spans="2:13" x14ac:dyDescent="0.25">
      <c r="B26" s="14"/>
      <c r="C26" s="17"/>
      <c r="D26" s="17"/>
      <c r="E26" s="17"/>
      <c r="F26" s="17"/>
      <c r="G26" s="17"/>
      <c r="H26" s="17"/>
      <c r="I26" s="18"/>
    </row>
    <row r="27" spans="2:13" x14ac:dyDescent="0.25">
      <c r="B27" s="14"/>
      <c r="C27" s="27" t="s">
        <v>406</v>
      </c>
      <c r="D27" s="26"/>
      <c r="E27" s="17"/>
      <c r="F27" s="27" t="s">
        <v>419</v>
      </c>
      <c r="G27" s="28"/>
      <c r="H27" s="17"/>
      <c r="I27" s="18"/>
    </row>
    <row r="28" spans="2:13" x14ac:dyDescent="0.25">
      <c r="B28" s="14"/>
      <c r="C28" s="17"/>
      <c r="D28" s="17"/>
      <c r="E28" s="17"/>
      <c r="F28" s="17"/>
      <c r="G28" s="17"/>
      <c r="H28" s="17"/>
      <c r="I28" s="18"/>
    </row>
    <row r="29" spans="2:13" x14ac:dyDescent="0.25">
      <c r="B29" s="14"/>
      <c r="C29" s="27" t="s">
        <v>407</v>
      </c>
      <c r="D29" s="28"/>
      <c r="E29" s="17"/>
      <c r="F29" s="17"/>
      <c r="G29" s="17"/>
      <c r="H29" s="17"/>
      <c r="I29" s="18"/>
    </row>
    <row r="30" spans="2:13" x14ac:dyDescent="0.25">
      <c r="B30" s="14"/>
      <c r="C30" s="17"/>
      <c r="D30" s="17"/>
      <c r="E30" s="17"/>
      <c r="F30" s="17"/>
      <c r="G30" s="17"/>
      <c r="H30" s="17"/>
      <c r="I30" s="18"/>
    </row>
    <row r="31" spans="2:13" x14ac:dyDescent="0.25">
      <c r="B31" s="14"/>
      <c r="C31" s="27" t="s">
        <v>408</v>
      </c>
      <c r="D31" s="28"/>
      <c r="E31" s="17"/>
      <c r="F31" s="17"/>
      <c r="G31" s="17"/>
      <c r="H31" s="17"/>
      <c r="I31" s="18"/>
    </row>
    <row r="32" spans="2:13" x14ac:dyDescent="0.25">
      <c r="B32" s="14"/>
      <c r="C32" s="17"/>
      <c r="D32" s="17"/>
      <c r="E32" s="17"/>
      <c r="F32" s="17"/>
      <c r="G32" s="17"/>
      <c r="H32" s="17"/>
      <c r="I32" s="18"/>
    </row>
    <row r="33" spans="2:9" x14ac:dyDescent="0.25">
      <c r="B33" s="14"/>
      <c r="C33" s="27" t="s">
        <v>409</v>
      </c>
      <c r="D33" s="28"/>
      <c r="E33" s="17"/>
      <c r="F33" s="17"/>
      <c r="G33" s="17"/>
      <c r="H33" s="17"/>
      <c r="I33" s="18"/>
    </row>
    <row r="34" spans="2:9" ht="23.25" customHeight="1" thickBot="1" x14ac:dyDescent="0.3">
      <c r="B34" s="29"/>
      <c r="C34" s="30"/>
      <c r="D34" s="30"/>
      <c r="E34" s="30"/>
      <c r="F34" s="30"/>
      <c r="G34" s="30"/>
      <c r="H34" s="30"/>
      <c r="I34" s="31"/>
    </row>
    <row r="35" spans="2:9" ht="15.75" thickTop="1" x14ac:dyDescent="0.25"/>
  </sheetData>
  <sheetProtection algorithmName="SHA-512" hashValue="w9+1yvvHNIku/Fds/OabJeriwNob9MugCs3EXBOV/4lJiERNJQ7aEXL1IQPwUZDPrBmV9YcWT3SpnCp6fqkGXw==" saltValue="4Tw2L4zfSxmktKiM89piHg==" spinCount="100000" sheet="1" objects="1" scenarios="1"/>
  <protectedRanges>
    <protectedRange sqref="D7 D11 D13 D15 D17 D23 D25 D27 D29 D31 D33 G23 G25 G27" name="Karta"/>
  </protectedRanges>
  <mergeCells count="1">
    <mergeCell ref="B3:D4"/>
  </mergeCells>
  <dataValidations count="14">
    <dataValidation type="decimal" allowBlank="1" showInputMessage="1" showErrorMessage="1" errorTitle="Chyba v hodnotě doby dohrání hry" error="Zadaná průměrná doba dohrání hry neodpovídá očekávanému formátu, tedy hodnota není v rozmezí 0 až 1000 nebo to není číslo." promptTitle="Průměrná doba dohrání" prompt="Zadejte průměrnou dobu dohrání v rozmezí 0 až 500." sqref="D17" xr:uid="{C8834663-4958-42C8-BE3B-1CB22BB6D14C}">
      <formula1>0</formula1>
      <formula2>500</formula2>
    </dataValidation>
    <dataValidation operator="greaterThanOrEqual" allowBlank="1" showInputMessage="1" showErrorMessage="1" promptTitle="Název vývojáře" prompt="Zadejte název vývojáře hry." sqref="D13" xr:uid="{BECAC873-AE66-4431-8F84-02FE71048F77}"/>
    <dataValidation type="date" operator="greaterThan" allowBlank="1" showInputMessage="1" showErrorMessage="1" errorTitle="Chyba v datumu vydání hry" error="Zadané datum vydání hry nesplňuje předepsané podmínky, tedy buď se nejedná o datum nebo datum je mimo povolený rozsah." promptTitle="Datum vydání hry" prompt="Zadejte datum vydání hry od 1.1.1900." sqref="D11" xr:uid="{A8F5F5DD-6400-4769-8100-BB51B3BC9DF0}">
      <formula1>1</formula1>
    </dataValidation>
    <dataValidation allowBlank="1" showInputMessage="1" showErrorMessage="1" errorTitle="Chyba v názvu hry" promptTitle="Název hry/rozšíření" prompt="Zadejte název hry nebo rozšíření." sqref="D7" xr:uid="{2AF8A78C-3A67-40A7-BE99-EACADCAD8B61}"/>
    <dataValidation allowBlank="1" showInputMessage="1" showErrorMessage="1" promptTitle="Název vydavatele" prompt="Zadejte název vydavatele hry." sqref="D15" xr:uid="{19222DDB-7332-4B40-B7AC-2108A75E9E77}"/>
    <dataValidation type="whole" allowBlank="1" showInputMessage="1" showErrorMessage="1" errorTitle="Chyba v hodnocení uživatelů (PC)" error="Zadaná hodnota neodpovídá očekávanému formátu, tedy hodnota není v požadovaném rozmezí nebo není číslo." promptTitle="Hodnocení uživatelů (PC)" prompt="Zadejte hodnocení uživatelů v rozmezí -1 až 100 (-1 označuje žádné hodnocení)." sqref="D23" xr:uid="{E9496392-5D7C-420E-95D2-EA20A68BF322}">
      <formula1>-1</formula1>
      <formula2>100</formula2>
    </dataValidation>
    <dataValidation type="whole" operator="greaterThan" allowBlank="1" showInputMessage="1" showErrorMessage="1" errorTitle="Počet uživatelů (PS4)" error="Zadaná hodnota neodpovídá předpokládanému formátu, tedy zadané číslo je menší než 0 nebo hodnota není číslo." promptTitle="Počet uživatelů (PS4)" prompt="Zadejte počet uživatelů, který je větší něž -2 (-1 označuje žádný počet uživatelů)." sqref="D33" xr:uid="{4DF8B72D-8877-4ACA-840F-C04CF5113EB7}">
      <formula1>-2</formula1>
    </dataValidation>
    <dataValidation type="whole" allowBlank="1" showInputMessage="1" showErrorMessage="1" errorTitle="Hodnocení uživatelů (X1)" error="Zadaná hodnota neodpovídá očekávanému formátu, tedy hodnota není v požadovaném rozmezí nebo není číslo." promptTitle="Hodnocení uživatelů (X1)" prompt="Zadejte hodnocení uživatelů v rozmezí -1 až 100 (-1 označuje žádné hodnocení)." sqref="D25" xr:uid="{B5F71AAE-B627-44C0-9D1E-64A70E3B380E}">
      <formula1>-1</formula1>
      <formula2>100</formula2>
    </dataValidation>
    <dataValidation type="whole" allowBlank="1" showInputMessage="1" showErrorMessage="1" errorTitle="Hodnocení uživatelů (PS4)" error="Zadaná hodnota neodpovídá očekávanému formátu, tedy hodnota není v požadovaném rozmezí nebo není číslo." promptTitle="Hodnocení uživatelů (PS4)" prompt="Zadejte hodnocení uživatelů v rozmezí -1 až 100 (-1 označuje žádné hodnocení)." sqref="D27" xr:uid="{F31E2773-9FF6-4939-B7EB-059F27192D75}">
      <formula1>-1</formula1>
      <formula2>100</formula2>
    </dataValidation>
    <dataValidation type="whole" operator="greaterThan" allowBlank="1" showInputMessage="1" showErrorMessage="1" errorTitle="Chyba v počtu uživatelů (PC)" error="Zadaná hodnota neodpovídá předpokládanému formátu, tedy zadané číslo je menší než 0 nebo hodnota není číslo." promptTitle="Počet uživatelů (PC)" prompt="Zadejte počet uživatelů, který je větší něž -2 (-1 označuje žádný počet uživatelů)." sqref="D29" xr:uid="{70CE7BAE-B538-423B-8684-CE64F29A4244}">
      <formula1>-2</formula1>
    </dataValidation>
    <dataValidation type="whole" operator="greaterThan" allowBlank="1" showInputMessage="1" showErrorMessage="1" errorTitle="Počet uživatelů (X1)" error="Zadaná hodnota neodpovídá předpokládanému formátu, tedy zadané číslo je menší než 0 nebo hodnota není číslo." promptTitle="Počet uživatelů (X1)" prompt="Zadejte počet uživatelů, který je větší něž -2 (-1 označuje žádný počet uživatelů)." sqref="D31" xr:uid="{E7BB173C-DCD1-46D6-8F30-E25E247C6CDF}">
      <formula1>-2</formula1>
    </dataValidation>
    <dataValidation type="whole" operator="greaterThan" allowBlank="1" showInputMessage="1" showErrorMessage="1" errorTitle="Chyba v počtu kusů (PC)" error="Zadaná hodnota neodpovídá předpokládanému formátu, tedy zadané číslo je menší než 0 nebo hodnota není číslo." promptTitle="Počet kusů (PC)" prompt="Zadejte počet kusů her, který je větší než -2 (-1 označuje žádný počet kusů)." sqref="G23" xr:uid="{016BB021-E4F1-487A-8851-572698162706}">
      <formula1>-2</formula1>
    </dataValidation>
    <dataValidation type="whole" operator="greaterThan" allowBlank="1" showInputMessage="1" showErrorMessage="1" errorTitle="Chyba v počtu kusů (PS4)" error="Zadaná hodnota neodpovídá předpokládanému formátu, tedy zadané číslo je menší než 0 nebo hodnota není číslo." promptTitle="Počet kusů (PS4)" prompt="Zadejte počet kusů her, který je větší než -2 (-1 označuje žádný počet kusů)." sqref="G27" xr:uid="{77397BD0-8307-4E4E-963C-1622BECBC39E}">
      <formula1>-2</formula1>
    </dataValidation>
    <dataValidation type="whole" operator="greaterThan" allowBlank="1" showInputMessage="1" showErrorMessage="1" errorTitle="Chyba v počtu kusů (X1)" error="Zadaná hodnota neodpovídá předpokládanému formátu, tedy zadané číslo je menší než 0 nebo hodnota není číslo." promptTitle="Počet kusů (X1)" prompt="Zadejte počet kusů her, který je větší než -2 (-1 označuje žádný počet kusů)." sqref="G25" xr:uid="{098C081D-6D45-46E1-A092-E9F03B00BB3B}">
      <formula1>-2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2</xdr:col>
                    <xdr:colOff>1628775</xdr:colOff>
                    <xdr:row>17</xdr:row>
                    <xdr:rowOff>190500</xdr:rowOff>
                  </from>
                  <to>
                    <xdr:col>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6</xdr:col>
                    <xdr:colOff>1200150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152400</xdr:rowOff>
                  </from>
                  <to>
                    <xdr:col>6</xdr:col>
                    <xdr:colOff>1200150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114300</xdr:rowOff>
                  </from>
                  <to>
                    <xdr:col>6</xdr:col>
                    <xdr:colOff>1200150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76200</xdr:rowOff>
                  </from>
                  <to>
                    <xdr:col>6</xdr:col>
                    <xdr:colOff>1200150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38100</xdr:rowOff>
                  </from>
                  <to>
                    <xdr:col>6</xdr:col>
                    <xdr:colOff>1200150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6</xdr:col>
                    <xdr:colOff>1200150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152400</xdr:rowOff>
                  </from>
                  <to>
                    <xdr:col>6</xdr:col>
                    <xdr:colOff>1200150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 moveWithCells="1">
                  <from>
                    <xdr:col>6</xdr:col>
                    <xdr:colOff>1171575</xdr:colOff>
                    <xdr:row>6</xdr:row>
                    <xdr:rowOff>0</xdr:rowOff>
                  </from>
                  <to>
                    <xdr:col>7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 moveWithCells="1">
                  <from>
                    <xdr:col>6</xdr:col>
                    <xdr:colOff>1171575</xdr:colOff>
                    <xdr:row>6</xdr:row>
                    <xdr:rowOff>152400</xdr:rowOff>
                  </from>
                  <to>
                    <xdr:col>7</xdr:col>
                    <xdr:colOff>466725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 moveWithCells="1">
                  <from>
                    <xdr:col>6</xdr:col>
                    <xdr:colOff>1171575</xdr:colOff>
                    <xdr:row>7</xdr:row>
                    <xdr:rowOff>114300</xdr:rowOff>
                  </from>
                  <to>
                    <xdr:col>7</xdr:col>
                    <xdr:colOff>466725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>
                <anchor moveWithCells="1">
                  <from>
                    <xdr:col>6</xdr:col>
                    <xdr:colOff>1171575</xdr:colOff>
                    <xdr:row>8</xdr:row>
                    <xdr:rowOff>76200</xdr:rowOff>
                  </from>
                  <to>
                    <xdr:col>7</xdr:col>
                    <xdr:colOff>466725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autoFill="0" autoLine="0" autoPict="0">
                <anchor moveWithCells="1">
                  <from>
                    <xdr:col>6</xdr:col>
                    <xdr:colOff>1171575</xdr:colOff>
                    <xdr:row>9</xdr:row>
                    <xdr:rowOff>38100</xdr:rowOff>
                  </from>
                  <to>
                    <xdr:col>7</xdr:col>
                    <xdr:colOff>466725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autoFill="0" autoLine="0" autoPict="0">
                <anchor moveWithCells="1">
                  <from>
                    <xdr:col>6</xdr:col>
                    <xdr:colOff>1171575</xdr:colOff>
                    <xdr:row>10</xdr:row>
                    <xdr:rowOff>0</xdr:rowOff>
                  </from>
                  <to>
                    <xdr:col>7</xdr:col>
                    <xdr:colOff>466725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autoFill="0" autoLine="0" autoPict="0">
                <anchor moveWithCells="1">
                  <from>
                    <xdr:col>6</xdr:col>
                    <xdr:colOff>1171575</xdr:colOff>
                    <xdr:row>10</xdr:row>
                    <xdr:rowOff>152400</xdr:rowOff>
                  </from>
                  <to>
                    <xdr:col>7</xdr:col>
                    <xdr:colOff>466725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autoFill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6</xdr:col>
                    <xdr:colOff>885825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autoFill="0" autoLine="0" autoPict="0">
                <anchor moveWithCells="1">
                  <from>
                    <xdr:col>6</xdr:col>
                    <xdr:colOff>0</xdr:colOff>
                    <xdr:row>13</xdr:row>
                    <xdr:rowOff>152400</xdr:rowOff>
                  </from>
                  <to>
                    <xdr:col>6</xdr:col>
                    <xdr:colOff>885825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114300</xdr:rowOff>
                  </from>
                  <to>
                    <xdr:col>6</xdr:col>
                    <xdr:colOff>885825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autoFill="0" autoLine="0" autoPict="0">
                <anchor moveWithCells="1">
                  <from>
                    <xdr:col>6</xdr:col>
                    <xdr:colOff>0</xdr:colOff>
                    <xdr:row>15</xdr:row>
                    <xdr:rowOff>76200</xdr:rowOff>
                  </from>
                  <to>
                    <xdr:col>6</xdr:col>
                    <xdr:colOff>885825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38100</xdr:rowOff>
                  </from>
                  <to>
                    <xdr:col>6</xdr:col>
                    <xdr:colOff>885825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autoFill="0" autoLine="0" autoPict="0">
                <anchor moveWithCells="1">
                  <from>
                    <xdr:col>6</xdr:col>
                    <xdr:colOff>1171575</xdr:colOff>
                    <xdr:row>13</xdr:row>
                    <xdr:rowOff>0</xdr:rowOff>
                  </from>
                  <to>
                    <xdr:col>7</xdr:col>
                    <xdr:colOff>152400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autoFill="0" autoLine="0" autoPict="0">
                <anchor moveWithCells="1">
                  <from>
                    <xdr:col>6</xdr:col>
                    <xdr:colOff>1171575</xdr:colOff>
                    <xdr:row>13</xdr:row>
                    <xdr:rowOff>152400</xdr:rowOff>
                  </from>
                  <to>
                    <xdr:col>7</xdr:col>
                    <xdr:colOff>152400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autoFill="0" autoLine="0" autoPict="0">
                <anchor moveWithCells="1">
                  <from>
                    <xdr:col>6</xdr:col>
                    <xdr:colOff>1171575</xdr:colOff>
                    <xdr:row>14</xdr:row>
                    <xdr:rowOff>114300</xdr:rowOff>
                  </from>
                  <to>
                    <xdr:col>7</xdr:col>
                    <xdr:colOff>152400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autoFill="0" autoLine="0" autoPict="0">
                <anchor moveWithCells="1">
                  <from>
                    <xdr:col>6</xdr:col>
                    <xdr:colOff>1171575</xdr:colOff>
                    <xdr:row>15</xdr:row>
                    <xdr:rowOff>76200</xdr:rowOff>
                  </from>
                  <to>
                    <xdr:col>7</xdr:col>
                    <xdr:colOff>152400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Button 26">
              <controlPr defaultSize="0" print="0" autoFill="0" autoPict="0" macro="[0]!PridatNovyZaznam">
                <anchor moveWithCells="1" sizeWithCells="1">
                  <from>
                    <xdr:col>6</xdr:col>
                    <xdr:colOff>0</xdr:colOff>
                    <xdr:row>30</xdr:row>
                    <xdr:rowOff>28575</xdr:rowOff>
                  </from>
                  <to>
                    <xdr:col>7</xdr:col>
                    <xdr:colOff>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4"/>
  <dimension ref="A1:Y168"/>
  <sheetViews>
    <sheetView zoomScaleNormal="100" workbookViewId="0">
      <pane ySplit="13" topLeftCell="A26" activePane="bottomLeft" state="frozen"/>
      <selection pane="bottomLeft" activeCell="F1" sqref="F1"/>
    </sheetView>
  </sheetViews>
  <sheetFormatPr defaultRowHeight="15" x14ac:dyDescent="0.25"/>
  <cols>
    <col min="1" max="1" width="23.7109375" style="1" customWidth="1"/>
    <col min="2" max="2" width="10.140625" style="1" customWidth="1"/>
    <col min="3" max="3" width="23" style="1" customWidth="1"/>
    <col min="4" max="4" width="23.28515625" style="1" customWidth="1"/>
    <col min="5" max="5" width="11.140625" style="1" customWidth="1"/>
    <col min="6" max="6" width="26" style="1" customWidth="1"/>
    <col min="7" max="7" width="28.85546875" style="1" customWidth="1"/>
    <col min="8" max="8" width="11.5703125" style="1" customWidth="1"/>
    <col min="9" max="9" width="9.42578125" style="1" customWidth="1"/>
    <col min="10" max="12" width="12.140625" style="1" customWidth="1"/>
    <col min="13" max="13" width="7.42578125" style="1" customWidth="1"/>
    <col min="14" max="14" width="13.28515625" style="1" customWidth="1"/>
    <col min="15" max="15" width="12.42578125" style="1" customWidth="1"/>
    <col min="16" max="16" width="9.5703125" style="1" customWidth="1"/>
    <col min="17" max="17" width="8.85546875" style="1" customWidth="1"/>
    <col min="18" max="18" width="9.140625" style="1" customWidth="1"/>
    <col min="19" max="16384" width="9.140625" style="1"/>
  </cols>
  <sheetData>
    <row r="1" spans="1:25" ht="21.75" customHeight="1" x14ac:dyDescent="0.25">
      <c r="P1" s="32"/>
    </row>
    <row r="2" spans="1:25" ht="21.75" customHeight="1" x14ac:dyDescent="0.25">
      <c r="V2" s="33"/>
      <c r="W2" s="33"/>
      <c r="X2" s="33"/>
    </row>
    <row r="3" spans="1:25" ht="15" customHeight="1" x14ac:dyDescent="0.25">
      <c r="V3" s="33"/>
      <c r="W3" s="33"/>
      <c r="X3" s="33"/>
    </row>
    <row r="4" spans="1:25" ht="15" customHeight="1" x14ac:dyDescent="0.25">
      <c r="A4" s="34" t="s">
        <v>421</v>
      </c>
      <c r="C4" s="35" t="s">
        <v>397</v>
      </c>
      <c r="F4" s="36" t="s">
        <v>423</v>
      </c>
      <c r="G4" s="35" t="s">
        <v>426</v>
      </c>
      <c r="H4" s="37"/>
      <c r="J4" s="36" t="s">
        <v>430</v>
      </c>
      <c r="L4" s="109">
        <v>0</v>
      </c>
      <c r="N4" s="38" t="s">
        <v>446</v>
      </c>
      <c r="O4" s="128"/>
      <c r="P4" s="129"/>
      <c r="Q4" s="130"/>
      <c r="S4" s="36" t="s">
        <v>435</v>
      </c>
      <c r="V4" s="33"/>
      <c r="W4"/>
      <c r="X4"/>
      <c r="Y4"/>
    </row>
    <row r="5" spans="1:25" ht="15" customHeight="1" x14ac:dyDescent="0.25">
      <c r="F5" s="39"/>
      <c r="O5" s="40"/>
      <c r="V5" s="33"/>
      <c r="W5"/>
      <c r="X5"/>
      <c r="Y5"/>
    </row>
    <row r="6" spans="1:25" ht="15" customHeight="1" x14ac:dyDescent="0.25">
      <c r="F6" s="41"/>
      <c r="G6" s="35" t="s">
        <v>427</v>
      </c>
      <c r="H6" s="37"/>
      <c r="N6" s="36" t="s">
        <v>417</v>
      </c>
      <c r="O6" s="42">
        <f>'Pomocný list'!C63</f>
        <v>0</v>
      </c>
      <c r="P6" s="43"/>
      <c r="Q6" s="43"/>
      <c r="W6"/>
      <c r="X6"/>
      <c r="Y6"/>
    </row>
    <row r="7" spans="1:25" ht="15" customHeight="1" x14ac:dyDescent="0.25">
      <c r="F7" s="36" t="s">
        <v>384</v>
      </c>
      <c r="N7" s="36" t="s">
        <v>418</v>
      </c>
      <c r="O7" s="42">
        <f>'Pomocný list'!C64</f>
        <v>0</v>
      </c>
      <c r="W7"/>
      <c r="X7"/>
      <c r="Y7"/>
    </row>
    <row r="8" spans="1:25" ht="15" customHeight="1" x14ac:dyDescent="0.25">
      <c r="G8" s="35" t="s">
        <v>428</v>
      </c>
      <c r="H8" s="37"/>
      <c r="N8" s="44" t="s">
        <v>419</v>
      </c>
      <c r="O8" s="45">
        <f>'Pomocný list'!C65</f>
        <v>0</v>
      </c>
      <c r="S8" s="46" t="s">
        <v>436</v>
      </c>
      <c r="T8" s="113" t="s">
        <v>437</v>
      </c>
      <c r="U8" s="113"/>
      <c r="W8"/>
      <c r="X8"/>
      <c r="Y8"/>
    </row>
    <row r="9" spans="1:25" ht="15" customHeight="1" x14ac:dyDescent="0.25">
      <c r="N9" s="36" t="s">
        <v>431</v>
      </c>
      <c r="O9" s="47">
        <f>SUM(O6:O8)</f>
        <v>0</v>
      </c>
      <c r="W9"/>
      <c r="X9"/>
      <c r="Y9"/>
    </row>
    <row r="10" spans="1:25" ht="17.25" customHeight="1" x14ac:dyDescent="0.25">
      <c r="W10"/>
      <c r="X10"/>
      <c r="Y10"/>
    </row>
    <row r="11" spans="1:25" ht="15" customHeight="1" x14ac:dyDescent="0.25">
      <c r="N11" s="36"/>
      <c r="O11" s="47"/>
      <c r="W11"/>
      <c r="X11"/>
      <c r="Y11"/>
    </row>
    <row r="12" spans="1:25" ht="20.25" customHeight="1" x14ac:dyDescent="0.25">
      <c r="A12" s="127" t="s">
        <v>353</v>
      </c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W12"/>
      <c r="X12"/>
      <c r="Y12"/>
    </row>
    <row r="13" spans="1:25" ht="36" x14ac:dyDescent="0.25">
      <c r="A13" s="110" t="s">
        <v>14</v>
      </c>
      <c r="B13" s="110" t="s">
        <v>13</v>
      </c>
      <c r="C13" s="110" t="s">
        <v>0</v>
      </c>
      <c r="D13" s="110" t="s">
        <v>1</v>
      </c>
      <c r="E13" s="111" t="s">
        <v>8</v>
      </c>
      <c r="F13" s="110" t="s">
        <v>2</v>
      </c>
      <c r="G13" s="110" t="s">
        <v>4</v>
      </c>
      <c r="H13" s="112" t="s">
        <v>5</v>
      </c>
      <c r="I13" s="110" t="s">
        <v>69</v>
      </c>
      <c r="J13" s="110" t="s">
        <v>18</v>
      </c>
      <c r="K13" s="110" t="s">
        <v>413</v>
      </c>
      <c r="L13" s="110" t="s">
        <v>412</v>
      </c>
      <c r="M13" s="110" t="s">
        <v>9</v>
      </c>
      <c r="N13" s="110" t="s">
        <v>410</v>
      </c>
      <c r="O13" s="110" t="s">
        <v>411</v>
      </c>
      <c r="P13" s="110" t="s">
        <v>484</v>
      </c>
      <c r="Q13" s="110" t="s">
        <v>482</v>
      </c>
      <c r="R13" s="110" t="s">
        <v>483</v>
      </c>
    </row>
    <row r="14" spans="1:25" ht="36.75" customHeight="1" x14ac:dyDescent="0.25">
      <c r="A14" s="95" t="s">
        <v>451</v>
      </c>
      <c r="B14" s="95" t="s">
        <v>15</v>
      </c>
      <c r="C14" s="95" t="s">
        <v>452</v>
      </c>
      <c r="D14" s="95" t="s">
        <v>453</v>
      </c>
      <c r="E14" s="96">
        <v>43441</v>
      </c>
      <c r="F14" s="97" t="s">
        <v>149</v>
      </c>
      <c r="G14" s="97" t="s">
        <v>403</v>
      </c>
      <c r="H14" s="98">
        <v>31.5</v>
      </c>
      <c r="I14" s="95" t="s">
        <v>333</v>
      </c>
      <c r="J14" s="99" t="s">
        <v>27</v>
      </c>
      <c r="K14" s="99" t="s">
        <v>27</v>
      </c>
      <c r="L14" s="99" t="s">
        <v>27</v>
      </c>
      <c r="M14" s="100" t="s">
        <v>27</v>
      </c>
      <c r="N14" s="100" t="s">
        <v>27</v>
      </c>
      <c r="O14" s="100" t="s">
        <v>27</v>
      </c>
      <c r="P14" s="100" t="s">
        <v>27</v>
      </c>
      <c r="Q14" s="100" t="s">
        <v>27</v>
      </c>
      <c r="R14" s="100" t="s">
        <v>27</v>
      </c>
    </row>
    <row r="15" spans="1:25" ht="36.75" customHeight="1" x14ac:dyDescent="0.25">
      <c r="A15" s="97" t="s">
        <v>51</v>
      </c>
      <c r="B15" s="97" t="s">
        <v>15</v>
      </c>
      <c r="C15" s="97" t="s">
        <v>54</v>
      </c>
      <c r="D15" s="97" t="s">
        <v>54</v>
      </c>
      <c r="E15" s="102">
        <v>43399</v>
      </c>
      <c r="F15" s="97" t="s">
        <v>55</v>
      </c>
      <c r="G15" s="97" t="s">
        <v>425</v>
      </c>
      <c r="H15" s="103">
        <v>41.1</v>
      </c>
      <c r="I15" s="97" t="s">
        <v>68</v>
      </c>
      <c r="J15" s="104" t="s">
        <v>27</v>
      </c>
      <c r="K15" s="105">
        <v>86</v>
      </c>
      <c r="L15" s="105">
        <v>88</v>
      </c>
      <c r="M15" s="106" t="s">
        <v>27</v>
      </c>
      <c r="N15" s="106">
        <v>666</v>
      </c>
      <c r="O15" s="106">
        <v>4814</v>
      </c>
      <c r="P15" s="100" t="s">
        <v>27</v>
      </c>
      <c r="Q15" s="100">
        <v>1356</v>
      </c>
      <c r="R15" s="100">
        <v>1189</v>
      </c>
    </row>
    <row r="16" spans="1:25" ht="36.75" customHeight="1" x14ac:dyDescent="0.25">
      <c r="A16" s="97" t="s">
        <v>259</v>
      </c>
      <c r="B16" s="97" t="s">
        <v>15</v>
      </c>
      <c r="C16" s="97" t="s">
        <v>6</v>
      </c>
      <c r="D16" s="97" t="s">
        <v>6</v>
      </c>
      <c r="E16" s="102">
        <v>43396</v>
      </c>
      <c r="F16" s="97" t="s">
        <v>260</v>
      </c>
      <c r="G16" s="97" t="s">
        <v>46</v>
      </c>
      <c r="H16" s="103">
        <v>30</v>
      </c>
      <c r="I16" s="97" t="s">
        <v>331</v>
      </c>
      <c r="J16" s="105">
        <v>91</v>
      </c>
      <c r="K16" s="105" t="s">
        <v>27</v>
      </c>
      <c r="L16" s="105" t="s">
        <v>27</v>
      </c>
      <c r="M16" s="100">
        <v>1405</v>
      </c>
      <c r="N16" s="100" t="s">
        <v>27</v>
      </c>
      <c r="O16" s="100" t="s">
        <v>27</v>
      </c>
      <c r="P16" s="100">
        <v>1310</v>
      </c>
      <c r="Q16" s="100" t="s">
        <v>27</v>
      </c>
      <c r="R16" s="100" t="s">
        <v>27</v>
      </c>
    </row>
    <row r="17" spans="1:18" ht="36.75" customHeight="1" x14ac:dyDescent="0.25">
      <c r="A17" s="97" t="s">
        <v>334</v>
      </c>
      <c r="B17" s="97" t="s">
        <v>15</v>
      </c>
      <c r="C17" s="97" t="s">
        <v>344</v>
      </c>
      <c r="D17" s="97" t="s">
        <v>114</v>
      </c>
      <c r="E17" s="102">
        <v>43378</v>
      </c>
      <c r="F17" s="97" t="s">
        <v>57</v>
      </c>
      <c r="G17" s="97" t="s">
        <v>11</v>
      </c>
      <c r="H17" s="103">
        <v>34</v>
      </c>
      <c r="I17" s="97" t="s">
        <v>68</v>
      </c>
      <c r="J17" s="105">
        <v>85</v>
      </c>
      <c r="K17" s="105">
        <v>88</v>
      </c>
      <c r="L17" s="105">
        <v>90</v>
      </c>
      <c r="M17" s="100">
        <v>12209</v>
      </c>
      <c r="N17" s="100">
        <v>289</v>
      </c>
      <c r="O17" s="100">
        <v>936</v>
      </c>
      <c r="P17" s="100">
        <v>387</v>
      </c>
      <c r="Q17" s="100">
        <v>499</v>
      </c>
      <c r="R17" s="100">
        <v>352</v>
      </c>
    </row>
    <row r="18" spans="1:18" ht="36.75" customHeight="1" x14ac:dyDescent="0.25">
      <c r="A18" s="97" t="s">
        <v>157</v>
      </c>
      <c r="B18" s="97" t="s">
        <v>15</v>
      </c>
      <c r="C18" s="97" t="s">
        <v>158</v>
      </c>
      <c r="D18" s="97" t="s">
        <v>34</v>
      </c>
      <c r="E18" s="102">
        <v>43375</v>
      </c>
      <c r="F18" s="97" t="s">
        <v>159</v>
      </c>
      <c r="G18" s="97" t="s">
        <v>35</v>
      </c>
      <c r="H18" s="103">
        <v>8.5</v>
      </c>
      <c r="I18" s="97" t="s">
        <v>274</v>
      </c>
      <c r="J18" s="105">
        <v>96</v>
      </c>
      <c r="K18" s="105">
        <v>96</v>
      </c>
      <c r="L18" s="105" t="s">
        <v>27</v>
      </c>
      <c r="M18" s="100">
        <v>40000</v>
      </c>
      <c r="N18" s="100">
        <v>40000</v>
      </c>
      <c r="O18" s="100" t="s">
        <v>27</v>
      </c>
      <c r="P18" s="100">
        <v>1190</v>
      </c>
      <c r="Q18" s="100">
        <v>948</v>
      </c>
      <c r="R18" s="100" t="s">
        <v>27</v>
      </c>
    </row>
    <row r="19" spans="1:18" ht="36.75" customHeight="1" x14ac:dyDescent="0.25">
      <c r="A19" s="97" t="s">
        <v>105</v>
      </c>
      <c r="B19" s="97" t="s">
        <v>15</v>
      </c>
      <c r="C19" s="97" t="s">
        <v>106</v>
      </c>
      <c r="D19" s="97" t="s">
        <v>29</v>
      </c>
      <c r="E19" s="102">
        <v>43357</v>
      </c>
      <c r="F19" s="97" t="s">
        <v>31</v>
      </c>
      <c r="G19" s="97" t="s">
        <v>109</v>
      </c>
      <c r="H19" s="103">
        <v>13</v>
      </c>
      <c r="I19" s="97" t="s">
        <v>68</v>
      </c>
      <c r="J19" s="105">
        <v>71</v>
      </c>
      <c r="K19" s="105">
        <v>90</v>
      </c>
      <c r="L19" s="105">
        <v>88</v>
      </c>
      <c r="M19" s="100">
        <v>7660</v>
      </c>
      <c r="N19" s="100">
        <v>230</v>
      </c>
      <c r="O19" s="100">
        <v>865</v>
      </c>
      <c r="P19" s="100">
        <v>904</v>
      </c>
      <c r="Q19" s="100">
        <v>917</v>
      </c>
      <c r="R19" s="100">
        <v>1843</v>
      </c>
    </row>
    <row r="20" spans="1:18" ht="36.75" customHeight="1" x14ac:dyDescent="0.25">
      <c r="A20" s="97" t="s">
        <v>24</v>
      </c>
      <c r="B20" s="97" t="s">
        <v>15</v>
      </c>
      <c r="C20" s="97" t="s">
        <v>25</v>
      </c>
      <c r="D20" s="97" t="s">
        <v>26</v>
      </c>
      <c r="E20" s="102">
        <v>43350</v>
      </c>
      <c r="F20" s="97" t="s">
        <v>57</v>
      </c>
      <c r="G20" s="97" t="s">
        <v>28</v>
      </c>
      <c r="H20" s="103">
        <v>16.5</v>
      </c>
      <c r="I20" s="97" t="s">
        <v>331</v>
      </c>
      <c r="J20" s="105" t="s">
        <v>27</v>
      </c>
      <c r="K20" s="105" t="s">
        <v>27</v>
      </c>
      <c r="L20" s="105">
        <v>98</v>
      </c>
      <c r="M20" s="100" t="s">
        <v>27</v>
      </c>
      <c r="N20" s="100" t="s">
        <v>27</v>
      </c>
      <c r="O20" s="100">
        <v>2360</v>
      </c>
      <c r="P20" s="100" t="s">
        <v>27</v>
      </c>
      <c r="Q20" s="100" t="s">
        <v>27</v>
      </c>
      <c r="R20" s="100">
        <v>767</v>
      </c>
    </row>
    <row r="21" spans="1:18" ht="24" x14ac:dyDescent="0.25">
      <c r="A21" s="97" t="s">
        <v>340</v>
      </c>
      <c r="B21" s="97" t="s">
        <v>15</v>
      </c>
      <c r="C21" s="97" t="s">
        <v>155</v>
      </c>
      <c r="D21" s="97" t="s">
        <v>156</v>
      </c>
      <c r="E21" s="102">
        <v>43319</v>
      </c>
      <c r="F21" s="97" t="s">
        <v>149</v>
      </c>
      <c r="G21" s="97" t="s">
        <v>58</v>
      </c>
      <c r="H21" s="103">
        <v>5.5</v>
      </c>
      <c r="I21" s="97" t="s">
        <v>274</v>
      </c>
      <c r="J21" s="105">
        <v>81</v>
      </c>
      <c r="K21" s="105">
        <v>95</v>
      </c>
      <c r="L21" s="105">
        <v>90</v>
      </c>
      <c r="M21" s="106">
        <v>3114</v>
      </c>
      <c r="N21" s="106">
        <v>104</v>
      </c>
      <c r="O21" s="106">
        <v>171</v>
      </c>
      <c r="P21" s="100">
        <v>1382</v>
      </c>
      <c r="Q21" s="100">
        <v>401</v>
      </c>
      <c r="R21" s="100">
        <v>1906</v>
      </c>
    </row>
    <row r="22" spans="1:18" x14ac:dyDescent="0.25">
      <c r="A22" s="97" t="s">
        <v>137</v>
      </c>
      <c r="B22" s="97" t="s">
        <v>17</v>
      </c>
      <c r="C22" s="97" t="s">
        <v>75</v>
      </c>
      <c r="D22" s="97" t="s">
        <v>76</v>
      </c>
      <c r="E22" s="102">
        <v>43261</v>
      </c>
      <c r="F22" s="97" t="s">
        <v>136</v>
      </c>
      <c r="G22" s="97" t="s">
        <v>11</v>
      </c>
      <c r="H22" s="103">
        <v>12</v>
      </c>
      <c r="I22" s="97" t="s">
        <v>68</v>
      </c>
      <c r="J22" s="105">
        <v>76</v>
      </c>
      <c r="K22" s="105">
        <v>86</v>
      </c>
      <c r="L22" s="105">
        <v>80</v>
      </c>
      <c r="M22" s="106">
        <v>647</v>
      </c>
      <c r="N22" s="106">
        <v>40</v>
      </c>
      <c r="O22" s="106">
        <v>68</v>
      </c>
      <c r="P22" s="100">
        <v>985</v>
      </c>
      <c r="Q22" s="100">
        <v>635</v>
      </c>
      <c r="R22" s="100">
        <v>646</v>
      </c>
    </row>
    <row r="23" spans="1:18" x14ac:dyDescent="0.25">
      <c r="A23" s="97" t="s">
        <v>220</v>
      </c>
      <c r="B23" s="97" t="s">
        <v>15</v>
      </c>
      <c r="C23" s="97" t="s">
        <v>66</v>
      </c>
      <c r="D23" s="97" t="s">
        <v>221</v>
      </c>
      <c r="E23" s="102">
        <v>43256</v>
      </c>
      <c r="F23" s="97" t="s">
        <v>100</v>
      </c>
      <c r="G23" s="97" t="s">
        <v>11</v>
      </c>
      <c r="H23" s="103">
        <v>16.5</v>
      </c>
      <c r="I23" s="97" t="s">
        <v>68</v>
      </c>
      <c r="J23" s="105">
        <v>71</v>
      </c>
      <c r="K23" s="105">
        <v>76</v>
      </c>
      <c r="L23" s="105">
        <v>80</v>
      </c>
      <c r="M23" s="106">
        <v>3776</v>
      </c>
      <c r="N23" s="106">
        <v>217</v>
      </c>
      <c r="O23" s="106">
        <v>264</v>
      </c>
      <c r="P23" s="100">
        <v>1092</v>
      </c>
      <c r="Q23" s="100">
        <v>1191</v>
      </c>
      <c r="R23" s="100">
        <v>667</v>
      </c>
    </row>
    <row r="24" spans="1:18" ht="24" x14ac:dyDescent="0.25">
      <c r="A24" s="97" t="s">
        <v>356</v>
      </c>
      <c r="B24" s="97" t="s">
        <v>15</v>
      </c>
      <c r="C24" s="97" t="s">
        <v>357</v>
      </c>
      <c r="D24" s="97" t="s">
        <v>166</v>
      </c>
      <c r="E24" s="102">
        <v>43245</v>
      </c>
      <c r="F24" s="97" t="s">
        <v>67</v>
      </c>
      <c r="G24" s="97" t="s">
        <v>28</v>
      </c>
      <c r="H24" s="103">
        <v>11.5</v>
      </c>
      <c r="I24" s="97" t="s">
        <v>68</v>
      </c>
      <c r="J24" s="105" t="s">
        <v>27</v>
      </c>
      <c r="K24" s="105" t="s">
        <v>27</v>
      </c>
      <c r="L24" s="105">
        <v>92</v>
      </c>
      <c r="M24" s="106" t="s">
        <v>27</v>
      </c>
      <c r="N24" s="106" t="s">
        <v>27</v>
      </c>
      <c r="O24" s="106">
        <v>107</v>
      </c>
      <c r="P24" s="100" t="s">
        <v>27</v>
      </c>
      <c r="Q24" s="100" t="s">
        <v>27</v>
      </c>
      <c r="R24" s="100">
        <v>1546</v>
      </c>
    </row>
    <row r="25" spans="1:18" x14ac:dyDescent="0.25">
      <c r="A25" s="97" t="s">
        <v>119</v>
      </c>
      <c r="B25" s="97" t="s">
        <v>15</v>
      </c>
      <c r="C25" s="97" t="s">
        <v>113</v>
      </c>
      <c r="D25" s="97" t="s">
        <v>114</v>
      </c>
      <c r="E25" s="102">
        <v>43217</v>
      </c>
      <c r="F25" s="97" t="s">
        <v>115</v>
      </c>
      <c r="G25" s="97" t="s">
        <v>11</v>
      </c>
      <c r="H25" s="103">
        <v>17.5</v>
      </c>
      <c r="I25" s="97" t="s">
        <v>68</v>
      </c>
      <c r="J25" s="105">
        <v>68</v>
      </c>
      <c r="K25" s="105">
        <v>68</v>
      </c>
      <c r="L25" s="105">
        <v>88</v>
      </c>
      <c r="M25" s="106">
        <v>25031</v>
      </c>
      <c r="N25" s="106">
        <v>419</v>
      </c>
      <c r="O25" s="106">
        <v>2136</v>
      </c>
      <c r="P25" s="100">
        <v>1755</v>
      </c>
      <c r="Q25" s="100">
        <v>480</v>
      </c>
      <c r="R25" s="100">
        <v>745</v>
      </c>
    </row>
    <row r="26" spans="1:18" x14ac:dyDescent="0.25">
      <c r="A26" s="97" t="s">
        <v>318</v>
      </c>
      <c r="B26" s="97" t="s">
        <v>15</v>
      </c>
      <c r="C26" s="97" t="s">
        <v>319</v>
      </c>
      <c r="D26" s="97" t="s">
        <v>319</v>
      </c>
      <c r="E26" s="102">
        <v>43197</v>
      </c>
      <c r="F26" s="97" t="s">
        <v>67</v>
      </c>
      <c r="G26" s="97" t="s">
        <v>46</v>
      </c>
      <c r="H26" s="103">
        <v>2</v>
      </c>
      <c r="I26" s="97" t="s">
        <v>27</v>
      </c>
      <c r="J26" s="105">
        <v>86</v>
      </c>
      <c r="K26" s="105" t="s">
        <v>27</v>
      </c>
      <c r="L26" s="105" t="s">
        <v>27</v>
      </c>
      <c r="M26" s="106">
        <v>674</v>
      </c>
      <c r="N26" s="106" t="s">
        <v>27</v>
      </c>
      <c r="O26" s="106" t="s">
        <v>27</v>
      </c>
      <c r="P26" s="100">
        <v>1993</v>
      </c>
      <c r="Q26" s="100" t="s">
        <v>27</v>
      </c>
      <c r="R26" s="100" t="s">
        <v>27</v>
      </c>
    </row>
    <row r="27" spans="1:18" x14ac:dyDescent="0.25">
      <c r="A27" s="97" t="s">
        <v>286</v>
      </c>
      <c r="B27" s="97" t="s">
        <v>15</v>
      </c>
      <c r="C27" s="97" t="s">
        <v>210</v>
      </c>
      <c r="D27" s="97" t="s">
        <v>210</v>
      </c>
      <c r="E27" s="102">
        <v>43183</v>
      </c>
      <c r="F27" s="97" t="s">
        <v>228</v>
      </c>
      <c r="G27" s="97" t="s">
        <v>46</v>
      </c>
      <c r="H27" s="103">
        <v>9.5</v>
      </c>
      <c r="I27" s="97" t="s">
        <v>68</v>
      </c>
      <c r="J27" s="105">
        <v>87</v>
      </c>
      <c r="K27" s="105" t="s">
        <v>27</v>
      </c>
      <c r="L27" s="105" t="s">
        <v>27</v>
      </c>
      <c r="M27" s="106">
        <v>17775</v>
      </c>
      <c r="N27" s="106" t="s">
        <v>27</v>
      </c>
      <c r="O27" s="106" t="s">
        <v>27</v>
      </c>
      <c r="P27" s="100">
        <v>378</v>
      </c>
      <c r="Q27" s="100" t="s">
        <v>27</v>
      </c>
      <c r="R27" s="100" t="s">
        <v>27</v>
      </c>
    </row>
    <row r="28" spans="1:18" ht="24" x14ac:dyDescent="0.25">
      <c r="A28" s="97" t="s">
        <v>103</v>
      </c>
      <c r="B28" s="97" t="s">
        <v>15</v>
      </c>
      <c r="C28" s="97" t="s">
        <v>104</v>
      </c>
      <c r="D28" s="97" t="s">
        <v>26</v>
      </c>
      <c r="E28" s="102">
        <v>43179</v>
      </c>
      <c r="F28" s="97" t="s">
        <v>31</v>
      </c>
      <c r="G28" s="97" t="s">
        <v>28</v>
      </c>
      <c r="H28" s="103">
        <v>19.5</v>
      </c>
      <c r="I28" s="97" t="s">
        <v>68</v>
      </c>
      <c r="J28" s="105" t="s">
        <v>27</v>
      </c>
      <c r="K28" s="105" t="s">
        <v>27</v>
      </c>
      <c r="L28" s="105">
        <v>100</v>
      </c>
      <c r="M28" s="106" t="s">
        <v>27</v>
      </c>
      <c r="N28" s="106" t="s">
        <v>27</v>
      </c>
      <c r="O28" s="106">
        <v>4079</v>
      </c>
      <c r="P28" s="100" t="s">
        <v>27</v>
      </c>
      <c r="Q28" s="100" t="s">
        <v>27</v>
      </c>
      <c r="R28" s="100">
        <v>697</v>
      </c>
    </row>
    <row r="29" spans="1:18" x14ac:dyDescent="0.25">
      <c r="A29" s="97" t="s">
        <v>320</v>
      </c>
      <c r="B29" s="97" t="s">
        <v>15</v>
      </c>
      <c r="C29" s="97" t="s">
        <v>321</v>
      </c>
      <c r="D29" s="97" t="s">
        <v>322</v>
      </c>
      <c r="E29" s="102">
        <v>43172</v>
      </c>
      <c r="F29" s="97" t="s">
        <v>179</v>
      </c>
      <c r="G29" s="97" t="s">
        <v>11</v>
      </c>
      <c r="H29" s="103">
        <v>21</v>
      </c>
      <c r="I29" s="97" t="s">
        <v>68</v>
      </c>
      <c r="J29" s="105">
        <v>70</v>
      </c>
      <c r="K29" s="105">
        <v>74</v>
      </c>
      <c r="L29" s="105">
        <v>70</v>
      </c>
      <c r="M29" s="106">
        <v>3389</v>
      </c>
      <c r="N29" s="106">
        <v>468</v>
      </c>
      <c r="O29" s="106">
        <v>42</v>
      </c>
      <c r="P29" s="100">
        <v>474</v>
      </c>
      <c r="Q29" s="100">
        <v>617</v>
      </c>
      <c r="R29" s="100">
        <v>305</v>
      </c>
    </row>
    <row r="30" spans="1:18" ht="24" x14ac:dyDescent="0.25">
      <c r="A30" s="97" t="s">
        <v>43</v>
      </c>
      <c r="B30" s="97" t="s">
        <v>15</v>
      </c>
      <c r="C30" s="97" t="s">
        <v>44</v>
      </c>
      <c r="D30" s="97" t="s">
        <v>269</v>
      </c>
      <c r="E30" s="102">
        <v>43162</v>
      </c>
      <c r="F30" s="97" t="s">
        <v>45</v>
      </c>
      <c r="G30" s="97" t="s">
        <v>46</v>
      </c>
      <c r="H30" s="103">
        <v>35</v>
      </c>
      <c r="I30" s="97" t="s">
        <v>68</v>
      </c>
      <c r="J30" s="105">
        <v>81</v>
      </c>
      <c r="K30" s="105" t="s">
        <v>27</v>
      </c>
      <c r="L30" s="105" t="s">
        <v>27</v>
      </c>
      <c r="M30" s="106">
        <v>2732</v>
      </c>
      <c r="N30" s="106" t="s">
        <v>27</v>
      </c>
      <c r="O30" s="106" t="s">
        <v>27</v>
      </c>
      <c r="P30" s="100">
        <v>1946</v>
      </c>
      <c r="Q30" s="100" t="s">
        <v>27</v>
      </c>
      <c r="R30" s="100" t="s">
        <v>27</v>
      </c>
    </row>
    <row r="31" spans="1:18" x14ac:dyDescent="0.25">
      <c r="A31" s="97" t="s">
        <v>205</v>
      </c>
      <c r="B31" s="97" t="s">
        <v>15</v>
      </c>
      <c r="C31" s="97" t="s">
        <v>206</v>
      </c>
      <c r="D31" s="97" t="s">
        <v>206</v>
      </c>
      <c r="E31" s="102">
        <v>43144</v>
      </c>
      <c r="F31" s="97" t="s">
        <v>95</v>
      </c>
      <c r="G31" s="97" t="s">
        <v>11</v>
      </c>
      <c r="H31" s="103">
        <v>39.5</v>
      </c>
      <c r="I31" s="97" t="s">
        <v>68</v>
      </c>
      <c r="J31" s="105">
        <v>74</v>
      </c>
      <c r="K31" s="105">
        <v>76</v>
      </c>
      <c r="L31" s="105">
        <v>80</v>
      </c>
      <c r="M31" s="106">
        <v>23297</v>
      </c>
      <c r="N31" s="106">
        <v>429</v>
      </c>
      <c r="O31" s="106">
        <v>839</v>
      </c>
      <c r="P31" s="100">
        <v>1334</v>
      </c>
      <c r="Q31" s="100">
        <v>1502</v>
      </c>
      <c r="R31" s="100">
        <v>471</v>
      </c>
    </row>
    <row r="32" spans="1:18" x14ac:dyDescent="0.25">
      <c r="A32" s="95" t="s">
        <v>490</v>
      </c>
      <c r="B32" s="95" t="s">
        <v>15</v>
      </c>
      <c r="C32" s="95" t="s">
        <v>453</v>
      </c>
      <c r="D32" s="95" t="s">
        <v>453</v>
      </c>
      <c r="E32" s="96">
        <v>43035</v>
      </c>
      <c r="F32" s="97" t="s">
        <v>219</v>
      </c>
      <c r="G32" s="97" t="s">
        <v>403</v>
      </c>
      <c r="H32" s="98">
        <v>26.5</v>
      </c>
      <c r="I32" s="95" t="s">
        <v>333</v>
      </c>
      <c r="J32" s="99" t="s">
        <v>27</v>
      </c>
      <c r="K32" s="99" t="s">
        <v>27</v>
      </c>
      <c r="L32" s="99" t="s">
        <v>27</v>
      </c>
      <c r="M32" s="100" t="s">
        <v>27</v>
      </c>
      <c r="N32" s="100" t="s">
        <v>27</v>
      </c>
      <c r="O32" s="100" t="s">
        <v>27</v>
      </c>
      <c r="P32" s="100" t="s">
        <v>27</v>
      </c>
      <c r="Q32" s="100" t="s">
        <v>27</v>
      </c>
      <c r="R32" s="100" t="s">
        <v>27</v>
      </c>
    </row>
    <row r="33" spans="1:18" ht="24" x14ac:dyDescent="0.25">
      <c r="A33" s="97" t="s">
        <v>146</v>
      </c>
      <c r="B33" s="97" t="s">
        <v>15</v>
      </c>
      <c r="C33" s="97" t="s">
        <v>147</v>
      </c>
      <c r="D33" s="97" t="s">
        <v>76</v>
      </c>
      <c r="E33" s="102">
        <v>43035</v>
      </c>
      <c r="F33" s="97" t="s">
        <v>50</v>
      </c>
      <c r="G33" s="97" t="s">
        <v>58</v>
      </c>
      <c r="H33" s="103">
        <v>10.5</v>
      </c>
      <c r="I33" s="97" t="s">
        <v>68</v>
      </c>
      <c r="J33" s="105">
        <v>69</v>
      </c>
      <c r="K33" s="105">
        <v>76</v>
      </c>
      <c r="L33" s="105">
        <v>86</v>
      </c>
      <c r="M33" s="106">
        <v>8581</v>
      </c>
      <c r="N33" s="106">
        <v>275</v>
      </c>
      <c r="O33" s="106">
        <v>341</v>
      </c>
      <c r="P33" s="100">
        <v>1458</v>
      </c>
      <c r="Q33" s="100">
        <v>839</v>
      </c>
      <c r="R33" s="100">
        <v>543</v>
      </c>
    </row>
    <row r="34" spans="1:18" x14ac:dyDescent="0.25">
      <c r="A34" s="97" t="s">
        <v>335</v>
      </c>
      <c r="B34" s="97" t="s">
        <v>15</v>
      </c>
      <c r="C34" s="97" t="s">
        <v>113</v>
      </c>
      <c r="D34" s="97" t="s">
        <v>114</v>
      </c>
      <c r="E34" s="102">
        <v>43035</v>
      </c>
      <c r="F34" s="97" t="s">
        <v>57</v>
      </c>
      <c r="G34" s="97" t="s">
        <v>11</v>
      </c>
      <c r="H34" s="103">
        <v>28</v>
      </c>
      <c r="I34" s="97" t="s">
        <v>68</v>
      </c>
      <c r="J34" s="105">
        <v>83</v>
      </c>
      <c r="K34" s="105">
        <v>84</v>
      </c>
      <c r="L34" s="105">
        <v>88</v>
      </c>
      <c r="M34" s="106">
        <v>30651</v>
      </c>
      <c r="N34" s="106">
        <v>451</v>
      </c>
      <c r="O34" s="106">
        <v>5497</v>
      </c>
      <c r="P34" s="100">
        <v>1372</v>
      </c>
      <c r="Q34" s="100">
        <v>1082</v>
      </c>
      <c r="R34" s="100">
        <v>1952</v>
      </c>
    </row>
    <row r="35" spans="1:18" x14ac:dyDescent="0.25">
      <c r="A35" s="97" t="s">
        <v>177</v>
      </c>
      <c r="B35" s="97" t="s">
        <v>15</v>
      </c>
      <c r="C35" s="97" t="s">
        <v>178</v>
      </c>
      <c r="D35" s="97" t="s">
        <v>76</v>
      </c>
      <c r="E35" s="102">
        <v>43021</v>
      </c>
      <c r="F35" s="97" t="s">
        <v>179</v>
      </c>
      <c r="G35" s="97" t="s">
        <v>11</v>
      </c>
      <c r="H35" s="103">
        <v>13.5</v>
      </c>
      <c r="I35" s="97" t="s">
        <v>68</v>
      </c>
      <c r="J35" s="105">
        <v>91</v>
      </c>
      <c r="K35" s="105">
        <v>94</v>
      </c>
      <c r="L35" s="105">
        <v>90</v>
      </c>
      <c r="M35" s="106">
        <v>4716</v>
      </c>
      <c r="N35" s="106">
        <v>277</v>
      </c>
      <c r="O35" s="106">
        <v>231</v>
      </c>
      <c r="P35" s="100">
        <v>1212</v>
      </c>
      <c r="Q35" s="100">
        <v>1797</v>
      </c>
      <c r="R35" s="100">
        <v>1224</v>
      </c>
    </row>
    <row r="36" spans="1:18" ht="24" x14ac:dyDescent="0.25">
      <c r="A36" s="97" t="s">
        <v>167</v>
      </c>
      <c r="B36" s="97" t="s">
        <v>15</v>
      </c>
      <c r="C36" s="97" t="s">
        <v>96</v>
      </c>
      <c r="D36" s="97" t="s">
        <v>168</v>
      </c>
      <c r="E36" s="102">
        <v>43018</v>
      </c>
      <c r="F36" s="97" t="s">
        <v>169</v>
      </c>
      <c r="G36" s="97" t="s">
        <v>11</v>
      </c>
      <c r="H36" s="103">
        <v>20.5</v>
      </c>
      <c r="I36" s="97" t="s">
        <v>68</v>
      </c>
      <c r="J36" s="105">
        <v>77</v>
      </c>
      <c r="K36" s="105">
        <v>74</v>
      </c>
      <c r="L36" s="105">
        <v>88</v>
      </c>
      <c r="M36" s="106">
        <v>14692</v>
      </c>
      <c r="N36" s="106">
        <v>675</v>
      </c>
      <c r="O36" s="106">
        <v>1947</v>
      </c>
      <c r="P36" s="100">
        <v>744</v>
      </c>
      <c r="Q36" s="100">
        <v>594</v>
      </c>
      <c r="R36" s="100">
        <v>1538</v>
      </c>
    </row>
    <row r="37" spans="1:18" x14ac:dyDescent="0.25">
      <c r="A37" s="97" t="s">
        <v>287</v>
      </c>
      <c r="B37" s="97" t="s">
        <v>15</v>
      </c>
      <c r="C37" s="97" t="s">
        <v>288</v>
      </c>
      <c r="D37" s="97" t="s">
        <v>34</v>
      </c>
      <c r="E37" s="102">
        <v>43011</v>
      </c>
      <c r="F37" s="97" t="s">
        <v>289</v>
      </c>
      <c r="G37" s="97" t="s">
        <v>35</v>
      </c>
      <c r="H37" s="103">
        <v>30</v>
      </c>
      <c r="I37" s="97" t="s">
        <v>274</v>
      </c>
      <c r="J37" s="105">
        <v>96</v>
      </c>
      <c r="K37" s="105">
        <v>96</v>
      </c>
      <c r="L37" s="105" t="s">
        <v>27</v>
      </c>
      <c r="M37" s="100" t="s">
        <v>354</v>
      </c>
      <c r="N37" s="106">
        <v>3228</v>
      </c>
      <c r="O37" s="106" t="s">
        <v>27</v>
      </c>
      <c r="P37" s="100">
        <v>1214</v>
      </c>
      <c r="Q37" s="100">
        <v>1107</v>
      </c>
      <c r="R37" s="100" t="s">
        <v>27</v>
      </c>
    </row>
    <row r="38" spans="1:18" x14ac:dyDescent="0.25">
      <c r="A38" s="97" t="s">
        <v>138</v>
      </c>
      <c r="B38" s="97" t="s">
        <v>15</v>
      </c>
      <c r="C38" s="97" t="s">
        <v>139</v>
      </c>
      <c r="D38" s="97" t="s">
        <v>139</v>
      </c>
      <c r="E38" s="102">
        <v>43007</v>
      </c>
      <c r="F38" s="97" t="s">
        <v>140</v>
      </c>
      <c r="G38" s="97" t="s">
        <v>35</v>
      </c>
      <c r="H38" s="103">
        <v>9</v>
      </c>
      <c r="I38" s="97" t="s">
        <v>333</v>
      </c>
      <c r="J38" s="105">
        <v>95</v>
      </c>
      <c r="K38" s="105">
        <v>86</v>
      </c>
      <c r="L38" s="105" t="s">
        <v>27</v>
      </c>
      <c r="M38" s="106">
        <v>33595</v>
      </c>
      <c r="N38" s="106">
        <v>788</v>
      </c>
      <c r="O38" s="106" t="s">
        <v>27</v>
      </c>
      <c r="P38" s="100">
        <v>819</v>
      </c>
      <c r="Q38" s="100">
        <v>1473</v>
      </c>
      <c r="R38" s="100" t="s">
        <v>27</v>
      </c>
    </row>
    <row r="39" spans="1:18" ht="24" x14ac:dyDescent="0.25">
      <c r="A39" s="97" t="s">
        <v>80</v>
      </c>
      <c r="B39" s="97" t="s">
        <v>15</v>
      </c>
      <c r="C39" s="97" t="s">
        <v>75</v>
      </c>
      <c r="D39" s="97" t="s">
        <v>76</v>
      </c>
      <c r="E39" s="102">
        <v>42993</v>
      </c>
      <c r="F39" s="97" t="s">
        <v>87</v>
      </c>
      <c r="G39" s="97" t="s">
        <v>11</v>
      </c>
      <c r="H39" s="103">
        <v>6.5</v>
      </c>
      <c r="I39" s="97" t="s">
        <v>68</v>
      </c>
      <c r="J39" s="105">
        <v>83</v>
      </c>
      <c r="K39" s="105">
        <v>84</v>
      </c>
      <c r="L39" s="105">
        <v>88</v>
      </c>
      <c r="M39" s="106">
        <v>2163</v>
      </c>
      <c r="N39" s="106">
        <v>96</v>
      </c>
      <c r="O39" s="106">
        <v>246</v>
      </c>
      <c r="P39" s="100">
        <v>1437</v>
      </c>
      <c r="Q39" s="100">
        <v>1424</v>
      </c>
      <c r="R39" s="100">
        <v>1989</v>
      </c>
    </row>
    <row r="40" spans="1:18" x14ac:dyDescent="0.25">
      <c r="A40" s="97" t="s">
        <v>240</v>
      </c>
      <c r="B40" s="97" t="s">
        <v>15</v>
      </c>
      <c r="C40" s="97" t="s">
        <v>241</v>
      </c>
      <c r="D40" s="97" t="s">
        <v>242</v>
      </c>
      <c r="E40" s="102">
        <v>42978</v>
      </c>
      <c r="F40" s="97" t="s">
        <v>67</v>
      </c>
      <c r="G40" s="97" t="s">
        <v>243</v>
      </c>
      <c r="H40" s="103">
        <v>3</v>
      </c>
      <c r="I40" s="97" t="s">
        <v>274</v>
      </c>
      <c r="J40" s="105">
        <v>91</v>
      </c>
      <c r="K40" s="105" t="s">
        <v>27</v>
      </c>
      <c r="L40" s="105">
        <v>88</v>
      </c>
      <c r="M40" s="106">
        <v>932</v>
      </c>
      <c r="N40" s="106" t="s">
        <v>27</v>
      </c>
      <c r="O40" s="106">
        <v>318</v>
      </c>
      <c r="P40" s="100">
        <v>621</v>
      </c>
      <c r="Q40" s="100" t="s">
        <v>27</v>
      </c>
      <c r="R40" s="100">
        <v>519</v>
      </c>
    </row>
    <row r="41" spans="1:18" x14ac:dyDescent="0.25">
      <c r="A41" s="95" t="s">
        <v>507</v>
      </c>
      <c r="B41" s="95" t="s">
        <v>15</v>
      </c>
      <c r="C41" s="95" t="s">
        <v>508</v>
      </c>
      <c r="D41" s="95" t="s">
        <v>508</v>
      </c>
      <c r="E41" s="96">
        <v>42976</v>
      </c>
      <c r="F41" s="97" t="s">
        <v>227</v>
      </c>
      <c r="G41" s="97" t="s">
        <v>403</v>
      </c>
      <c r="H41" s="98">
        <v>30</v>
      </c>
      <c r="I41" s="95" t="s">
        <v>333</v>
      </c>
      <c r="J41" s="99" t="s">
        <v>27</v>
      </c>
      <c r="K41" s="99" t="s">
        <v>27</v>
      </c>
      <c r="L41" s="99" t="s">
        <v>27</v>
      </c>
      <c r="M41" s="100" t="s">
        <v>27</v>
      </c>
      <c r="N41" s="100" t="s">
        <v>27</v>
      </c>
      <c r="O41" s="100" t="s">
        <v>27</v>
      </c>
      <c r="P41" s="100" t="s">
        <v>27</v>
      </c>
      <c r="Q41" s="100" t="s">
        <v>27</v>
      </c>
      <c r="R41" s="100" t="s">
        <v>27</v>
      </c>
    </row>
    <row r="42" spans="1:18" ht="24" x14ac:dyDescent="0.25">
      <c r="A42" s="97" t="s">
        <v>363</v>
      </c>
      <c r="B42" s="97" t="s">
        <v>15</v>
      </c>
      <c r="C42" s="97" t="s">
        <v>195</v>
      </c>
      <c r="D42" s="97" t="s">
        <v>26</v>
      </c>
      <c r="E42" s="102">
        <v>42969</v>
      </c>
      <c r="F42" s="97" t="s">
        <v>31</v>
      </c>
      <c r="G42" s="97" t="s">
        <v>28</v>
      </c>
      <c r="H42" s="103">
        <v>7</v>
      </c>
      <c r="I42" s="97" t="s">
        <v>331</v>
      </c>
      <c r="J42" s="97" t="s">
        <v>27</v>
      </c>
      <c r="K42" s="97" t="s">
        <v>27</v>
      </c>
      <c r="L42" s="105">
        <v>98</v>
      </c>
      <c r="M42" s="106" t="s">
        <v>27</v>
      </c>
      <c r="N42" s="106" t="s">
        <v>27</v>
      </c>
      <c r="O42" s="106">
        <v>1673</v>
      </c>
      <c r="P42" s="100" t="s">
        <v>27</v>
      </c>
      <c r="Q42" s="100" t="s">
        <v>27</v>
      </c>
      <c r="R42" s="100">
        <v>1797</v>
      </c>
    </row>
    <row r="43" spans="1:18" x14ac:dyDescent="0.25">
      <c r="A43" s="97" t="s">
        <v>279</v>
      </c>
      <c r="B43" s="97" t="s">
        <v>15</v>
      </c>
      <c r="C43" s="97" t="s">
        <v>280</v>
      </c>
      <c r="D43" s="97" t="s">
        <v>281</v>
      </c>
      <c r="E43" s="102">
        <v>42962</v>
      </c>
      <c r="F43" s="97" t="s">
        <v>67</v>
      </c>
      <c r="G43" s="97" t="s">
        <v>11</v>
      </c>
      <c r="H43" s="103">
        <v>6.5</v>
      </c>
      <c r="I43" s="97" t="s">
        <v>68</v>
      </c>
      <c r="J43" s="105">
        <v>82</v>
      </c>
      <c r="K43" s="105">
        <v>76</v>
      </c>
      <c r="L43" s="105">
        <v>90</v>
      </c>
      <c r="M43" s="106">
        <v>1986</v>
      </c>
      <c r="N43" s="106">
        <v>183</v>
      </c>
      <c r="O43" s="106">
        <v>593</v>
      </c>
      <c r="P43" s="100">
        <v>947</v>
      </c>
      <c r="Q43" s="100">
        <v>1000</v>
      </c>
      <c r="R43" s="100">
        <v>1688</v>
      </c>
    </row>
    <row r="44" spans="1:18" ht="24" x14ac:dyDescent="0.25">
      <c r="A44" s="97" t="s">
        <v>142</v>
      </c>
      <c r="B44" s="97" t="s">
        <v>15</v>
      </c>
      <c r="C44" s="97" t="s">
        <v>143</v>
      </c>
      <c r="D44" s="97" t="s">
        <v>143</v>
      </c>
      <c r="E44" s="102">
        <v>42955</v>
      </c>
      <c r="F44" s="97" t="s">
        <v>144</v>
      </c>
      <c r="G44" s="97" t="s">
        <v>11</v>
      </c>
      <c r="H44" s="103">
        <v>7</v>
      </c>
      <c r="I44" s="97" t="s">
        <v>68</v>
      </c>
      <c r="J44" s="105">
        <v>91</v>
      </c>
      <c r="K44" s="105">
        <v>94</v>
      </c>
      <c r="L44" s="105">
        <v>90</v>
      </c>
      <c r="M44" s="106">
        <v>18757</v>
      </c>
      <c r="N44" s="106">
        <v>323</v>
      </c>
      <c r="O44" s="106">
        <v>8653</v>
      </c>
      <c r="P44" s="100">
        <v>651</v>
      </c>
      <c r="Q44" s="100">
        <v>411</v>
      </c>
      <c r="R44" s="100">
        <v>945</v>
      </c>
    </row>
    <row r="45" spans="1:18" ht="24" x14ac:dyDescent="0.25">
      <c r="A45" s="97" t="s">
        <v>182</v>
      </c>
      <c r="B45" s="97" t="s">
        <v>17</v>
      </c>
      <c r="C45" s="97" t="s">
        <v>181</v>
      </c>
      <c r="D45" s="97" t="s">
        <v>181</v>
      </c>
      <c r="E45" s="102">
        <v>42905</v>
      </c>
      <c r="F45" s="97" t="s">
        <v>229</v>
      </c>
      <c r="G45" s="97" t="s">
        <v>58</v>
      </c>
      <c r="H45" s="103">
        <v>12</v>
      </c>
      <c r="I45" s="97" t="s">
        <v>331</v>
      </c>
      <c r="J45" s="105">
        <v>67</v>
      </c>
      <c r="K45" s="105">
        <v>88</v>
      </c>
      <c r="L45" s="105">
        <v>98</v>
      </c>
      <c r="M45" s="106">
        <v>963</v>
      </c>
      <c r="N45" s="106">
        <v>9</v>
      </c>
      <c r="O45" s="106">
        <v>86</v>
      </c>
      <c r="P45" s="100">
        <v>714</v>
      </c>
      <c r="Q45" s="100">
        <v>324</v>
      </c>
      <c r="R45" s="100">
        <v>561</v>
      </c>
    </row>
    <row r="46" spans="1:18" x14ac:dyDescent="0.25">
      <c r="A46" s="97" t="s">
        <v>234</v>
      </c>
      <c r="B46" s="97" t="s">
        <v>15</v>
      </c>
      <c r="C46" s="97" t="s">
        <v>235</v>
      </c>
      <c r="D46" s="97" t="s">
        <v>221</v>
      </c>
      <c r="E46" s="102">
        <v>42870</v>
      </c>
      <c r="F46" s="97" t="s">
        <v>100</v>
      </c>
      <c r="G46" s="97" t="s">
        <v>11</v>
      </c>
      <c r="H46" s="103">
        <v>20.5</v>
      </c>
      <c r="I46" s="97" t="s">
        <v>68</v>
      </c>
      <c r="J46" s="105">
        <v>74</v>
      </c>
      <c r="K46" s="105">
        <v>74</v>
      </c>
      <c r="L46" s="105">
        <v>80</v>
      </c>
      <c r="M46" s="106">
        <v>2910</v>
      </c>
      <c r="N46" s="106">
        <v>227</v>
      </c>
      <c r="O46" s="106">
        <v>1785</v>
      </c>
      <c r="P46" s="100">
        <v>1541</v>
      </c>
      <c r="Q46" s="100">
        <v>1435</v>
      </c>
      <c r="R46" s="100">
        <v>1098</v>
      </c>
    </row>
    <row r="47" spans="1:18" ht="24" x14ac:dyDescent="0.25">
      <c r="A47" s="97" t="s">
        <v>311</v>
      </c>
      <c r="B47" s="97" t="s">
        <v>15</v>
      </c>
      <c r="C47" s="97" t="s">
        <v>310</v>
      </c>
      <c r="D47" s="97" t="s">
        <v>310</v>
      </c>
      <c r="E47" s="102">
        <v>42855</v>
      </c>
      <c r="F47" s="97" t="s">
        <v>67</v>
      </c>
      <c r="G47" s="97" t="s">
        <v>58</v>
      </c>
      <c r="H47" s="103">
        <v>11</v>
      </c>
      <c r="I47" s="97" t="s">
        <v>331</v>
      </c>
      <c r="J47" s="105">
        <v>93</v>
      </c>
      <c r="K47" s="105">
        <v>94</v>
      </c>
      <c r="L47" s="105">
        <v>98</v>
      </c>
      <c r="M47" s="106">
        <v>1521</v>
      </c>
      <c r="N47" s="106">
        <v>201</v>
      </c>
      <c r="O47" s="106">
        <v>223</v>
      </c>
      <c r="P47" s="100">
        <v>443</v>
      </c>
      <c r="Q47" s="100">
        <v>1092</v>
      </c>
      <c r="R47" s="100">
        <v>1896</v>
      </c>
    </row>
    <row r="48" spans="1:18" x14ac:dyDescent="0.25">
      <c r="A48" s="97" t="s">
        <v>342</v>
      </c>
      <c r="B48" s="97" t="s">
        <v>15</v>
      </c>
      <c r="C48" s="97" t="s">
        <v>343</v>
      </c>
      <c r="D48" s="97" t="s">
        <v>29</v>
      </c>
      <c r="E48" s="102">
        <v>42832</v>
      </c>
      <c r="F48" s="97" t="s">
        <v>100</v>
      </c>
      <c r="G48" s="97" t="s">
        <v>11</v>
      </c>
      <c r="H48" s="103">
        <v>20.5</v>
      </c>
      <c r="I48" s="97" t="s">
        <v>68</v>
      </c>
      <c r="J48" s="105">
        <v>84</v>
      </c>
      <c r="K48" s="105">
        <v>98</v>
      </c>
      <c r="L48" s="105">
        <v>98</v>
      </c>
      <c r="M48" s="106">
        <v>29536</v>
      </c>
      <c r="N48" s="106">
        <v>321</v>
      </c>
      <c r="O48" s="106">
        <v>2130</v>
      </c>
      <c r="P48" s="100">
        <v>1646</v>
      </c>
      <c r="Q48" s="100">
        <v>929</v>
      </c>
      <c r="R48" s="100">
        <v>1082</v>
      </c>
    </row>
    <row r="49" spans="1:18" x14ac:dyDescent="0.25">
      <c r="A49" s="97" t="s">
        <v>135</v>
      </c>
      <c r="B49" s="97" t="s">
        <v>15</v>
      </c>
      <c r="C49" s="97" t="s">
        <v>75</v>
      </c>
      <c r="D49" s="97" t="s">
        <v>76</v>
      </c>
      <c r="E49" s="102">
        <v>42830</v>
      </c>
      <c r="F49" s="97" t="s">
        <v>136</v>
      </c>
      <c r="G49" s="97" t="s">
        <v>11</v>
      </c>
      <c r="H49" s="103">
        <v>16</v>
      </c>
      <c r="I49" s="97" t="s">
        <v>68</v>
      </c>
      <c r="J49" s="105">
        <v>88</v>
      </c>
      <c r="K49" s="105">
        <v>86</v>
      </c>
      <c r="L49" s="105">
        <v>80</v>
      </c>
      <c r="M49" s="106">
        <v>10600</v>
      </c>
      <c r="N49" s="106">
        <v>292</v>
      </c>
      <c r="O49" s="106">
        <v>208</v>
      </c>
      <c r="P49" s="100">
        <v>1297</v>
      </c>
      <c r="Q49" s="100">
        <v>1788</v>
      </c>
      <c r="R49" s="100">
        <v>1556</v>
      </c>
    </row>
    <row r="50" spans="1:18" ht="24" x14ac:dyDescent="0.25">
      <c r="A50" s="97" t="s">
        <v>62</v>
      </c>
      <c r="B50" s="97" t="s">
        <v>15</v>
      </c>
      <c r="C50" s="97" t="s">
        <v>63</v>
      </c>
      <c r="D50" s="97" t="s">
        <v>64</v>
      </c>
      <c r="E50" s="102">
        <v>42828</v>
      </c>
      <c r="F50" s="97" t="s">
        <v>56</v>
      </c>
      <c r="G50" s="97" t="s">
        <v>65</v>
      </c>
      <c r="H50" s="103">
        <v>47</v>
      </c>
      <c r="I50" s="97" t="s">
        <v>333</v>
      </c>
      <c r="J50" s="105" t="s">
        <v>27</v>
      </c>
      <c r="K50" s="105" t="s">
        <v>27</v>
      </c>
      <c r="L50" s="105" t="s">
        <v>27</v>
      </c>
      <c r="M50" s="106" t="s">
        <v>27</v>
      </c>
      <c r="N50" s="106" t="s">
        <v>27</v>
      </c>
      <c r="O50" s="106" t="s">
        <v>27</v>
      </c>
      <c r="P50" s="100" t="s">
        <v>27</v>
      </c>
      <c r="Q50" s="100" t="s">
        <v>27</v>
      </c>
      <c r="R50" s="100" t="s">
        <v>27</v>
      </c>
    </row>
    <row r="51" spans="1:18" ht="24" x14ac:dyDescent="0.25">
      <c r="A51" s="97" t="s">
        <v>216</v>
      </c>
      <c r="B51" s="97" t="s">
        <v>15</v>
      </c>
      <c r="C51" s="97" t="s">
        <v>217</v>
      </c>
      <c r="D51" s="97" t="s">
        <v>218</v>
      </c>
      <c r="E51" s="102">
        <v>42822</v>
      </c>
      <c r="F51" s="97" t="s">
        <v>219</v>
      </c>
      <c r="G51" s="97" t="s">
        <v>58</v>
      </c>
      <c r="H51" s="103">
        <v>3.5</v>
      </c>
      <c r="I51" s="97" t="s">
        <v>331</v>
      </c>
      <c r="J51" s="105">
        <v>88</v>
      </c>
      <c r="K51" s="105">
        <v>92</v>
      </c>
      <c r="L51" s="105">
        <v>90</v>
      </c>
      <c r="M51" s="106">
        <v>5544</v>
      </c>
      <c r="N51" s="106">
        <v>244</v>
      </c>
      <c r="O51" s="106">
        <v>2880</v>
      </c>
      <c r="P51" s="100">
        <v>339</v>
      </c>
      <c r="Q51" s="100">
        <v>397</v>
      </c>
      <c r="R51" s="100">
        <v>650</v>
      </c>
    </row>
    <row r="52" spans="1:18" ht="24" x14ac:dyDescent="0.25">
      <c r="A52" s="97" t="s">
        <v>187</v>
      </c>
      <c r="B52" s="97" t="s">
        <v>15</v>
      </c>
      <c r="C52" s="97" t="s">
        <v>188</v>
      </c>
      <c r="D52" s="97" t="s">
        <v>189</v>
      </c>
      <c r="E52" s="102">
        <v>42819</v>
      </c>
      <c r="F52" s="97" t="s">
        <v>67</v>
      </c>
      <c r="G52" s="97" t="s">
        <v>11</v>
      </c>
      <c r="H52" s="103">
        <v>2</v>
      </c>
      <c r="I52" s="97" t="s">
        <v>331</v>
      </c>
      <c r="J52" s="105">
        <v>95</v>
      </c>
      <c r="K52" s="105">
        <v>94</v>
      </c>
      <c r="L52" s="105">
        <v>100</v>
      </c>
      <c r="M52" s="106">
        <v>8693</v>
      </c>
      <c r="N52" s="106">
        <v>221</v>
      </c>
      <c r="O52" s="106">
        <v>1808</v>
      </c>
      <c r="P52" s="100">
        <v>1568</v>
      </c>
      <c r="Q52" s="100">
        <v>740</v>
      </c>
      <c r="R52" s="100">
        <v>935</v>
      </c>
    </row>
    <row r="53" spans="1:18" x14ac:dyDescent="0.25">
      <c r="A53" s="97" t="s">
        <v>359</v>
      </c>
      <c r="B53" s="97" t="s">
        <v>15</v>
      </c>
      <c r="C53" s="97" t="s">
        <v>360</v>
      </c>
      <c r="D53" s="97" t="s">
        <v>360</v>
      </c>
      <c r="E53" s="102">
        <v>42798</v>
      </c>
      <c r="F53" s="97" t="s">
        <v>361</v>
      </c>
      <c r="G53" s="97" t="s">
        <v>362</v>
      </c>
      <c r="H53" s="103">
        <v>97</v>
      </c>
      <c r="I53" s="97" t="s">
        <v>68</v>
      </c>
      <c r="J53" s="105" t="s">
        <v>27</v>
      </c>
      <c r="K53" s="105" t="s">
        <v>27</v>
      </c>
      <c r="L53" s="105">
        <v>98</v>
      </c>
      <c r="M53" s="106" t="s">
        <v>27</v>
      </c>
      <c r="N53" s="106" t="s">
        <v>27</v>
      </c>
      <c r="O53" s="106">
        <v>5079</v>
      </c>
      <c r="P53" s="100" t="s">
        <v>27</v>
      </c>
      <c r="Q53" s="100" t="s">
        <v>27</v>
      </c>
      <c r="R53" s="100">
        <v>622</v>
      </c>
    </row>
    <row r="54" spans="1:18" ht="24" x14ac:dyDescent="0.25">
      <c r="A54" s="97" t="s">
        <v>52</v>
      </c>
      <c r="B54" s="97" t="s">
        <v>15</v>
      </c>
      <c r="C54" s="97" t="s">
        <v>59</v>
      </c>
      <c r="D54" s="97" t="s">
        <v>59</v>
      </c>
      <c r="E54" s="102">
        <v>42790</v>
      </c>
      <c r="F54" s="97" t="s">
        <v>61</v>
      </c>
      <c r="G54" s="97" t="s">
        <v>58</v>
      </c>
      <c r="H54" s="103">
        <v>22</v>
      </c>
      <c r="I54" s="97" t="s">
        <v>333</v>
      </c>
      <c r="J54" s="105">
        <v>95</v>
      </c>
      <c r="K54" s="105">
        <v>94</v>
      </c>
      <c r="L54" s="105">
        <v>98</v>
      </c>
      <c r="M54" s="106">
        <v>31366</v>
      </c>
      <c r="N54" s="106">
        <v>188</v>
      </c>
      <c r="O54" s="106">
        <v>384</v>
      </c>
      <c r="P54" s="100">
        <v>648</v>
      </c>
      <c r="Q54" s="100">
        <v>1564</v>
      </c>
      <c r="R54" s="100">
        <v>1680</v>
      </c>
    </row>
    <row r="55" spans="1:18" ht="24" x14ac:dyDescent="0.25">
      <c r="A55" s="97" t="s">
        <v>264</v>
      </c>
      <c r="B55" s="97" t="s">
        <v>17</v>
      </c>
      <c r="C55" s="97" t="s">
        <v>158</v>
      </c>
      <c r="D55" s="97" t="s">
        <v>34</v>
      </c>
      <c r="E55" s="102">
        <v>42717</v>
      </c>
      <c r="F55" s="97" t="s">
        <v>159</v>
      </c>
      <c r="G55" s="97" t="s">
        <v>35</v>
      </c>
      <c r="H55" s="103">
        <v>5</v>
      </c>
      <c r="I55" s="97" t="s">
        <v>274</v>
      </c>
      <c r="J55" s="105">
        <v>78</v>
      </c>
      <c r="K55" s="105">
        <v>78</v>
      </c>
      <c r="L55" s="105" t="s">
        <v>27</v>
      </c>
      <c r="M55" s="106">
        <v>561</v>
      </c>
      <c r="N55" s="106">
        <v>250</v>
      </c>
      <c r="O55" s="106" t="s">
        <v>27</v>
      </c>
      <c r="P55" s="100">
        <v>733</v>
      </c>
      <c r="Q55" s="100">
        <v>1499</v>
      </c>
      <c r="R55" s="100" t="s">
        <v>27</v>
      </c>
    </row>
    <row r="56" spans="1:18" ht="24" x14ac:dyDescent="0.25">
      <c r="A56" s="97" t="s">
        <v>265</v>
      </c>
      <c r="B56" s="97" t="s">
        <v>15</v>
      </c>
      <c r="C56" s="97" t="s">
        <v>266</v>
      </c>
      <c r="D56" s="97" t="s">
        <v>34</v>
      </c>
      <c r="E56" s="102">
        <v>42710</v>
      </c>
      <c r="F56" s="97" t="s">
        <v>31</v>
      </c>
      <c r="G56" s="97" t="s">
        <v>11</v>
      </c>
      <c r="H56" s="103">
        <v>10.5</v>
      </c>
      <c r="I56" s="97" t="s">
        <v>68</v>
      </c>
      <c r="J56" s="105">
        <v>49</v>
      </c>
      <c r="K56" s="105">
        <v>64</v>
      </c>
      <c r="L56" s="105">
        <v>90</v>
      </c>
      <c r="M56" s="106">
        <v>1133</v>
      </c>
      <c r="N56" s="106">
        <v>459</v>
      </c>
      <c r="O56" s="106">
        <v>445</v>
      </c>
      <c r="P56" s="100">
        <v>912</v>
      </c>
      <c r="Q56" s="100">
        <v>950</v>
      </c>
      <c r="R56" s="100">
        <v>1561</v>
      </c>
    </row>
    <row r="57" spans="1:18" ht="24" x14ac:dyDescent="0.25">
      <c r="A57" s="97" t="s">
        <v>133</v>
      </c>
      <c r="B57" s="97" t="s">
        <v>15</v>
      </c>
      <c r="C57" s="97" t="s">
        <v>134</v>
      </c>
      <c r="D57" s="97" t="s">
        <v>29</v>
      </c>
      <c r="E57" s="102">
        <v>42703</v>
      </c>
      <c r="F57" s="97" t="s">
        <v>56</v>
      </c>
      <c r="G57" s="97" t="s">
        <v>11</v>
      </c>
      <c r="H57" s="103">
        <v>26.5</v>
      </c>
      <c r="I57" s="97" t="s">
        <v>331</v>
      </c>
      <c r="J57" s="105">
        <v>78</v>
      </c>
      <c r="K57" s="105">
        <v>76</v>
      </c>
      <c r="L57" s="105">
        <v>90</v>
      </c>
      <c r="M57" s="106">
        <v>11084</v>
      </c>
      <c r="N57" s="106">
        <v>66</v>
      </c>
      <c r="O57" s="106">
        <v>513</v>
      </c>
      <c r="P57" s="100">
        <v>317</v>
      </c>
      <c r="Q57" s="100">
        <v>841</v>
      </c>
      <c r="R57" s="100">
        <v>1622</v>
      </c>
    </row>
    <row r="58" spans="1:18" x14ac:dyDescent="0.25">
      <c r="A58" s="97" t="s">
        <v>186</v>
      </c>
      <c r="B58" s="97" t="s">
        <v>15</v>
      </c>
      <c r="C58" s="97" t="s">
        <v>113</v>
      </c>
      <c r="D58" s="97" t="s">
        <v>114</v>
      </c>
      <c r="E58" s="102">
        <v>42689</v>
      </c>
      <c r="F58" s="97" t="s">
        <v>57</v>
      </c>
      <c r="G58" s="97" t="s">
        <v>11</v>
      </c>
      <c r="H58" s="103">
        <v>19</v>
      </c>
      <c r="I58" s="97" t="s">
        <v>68</v>
      </c>
      <c r="J58" s="105">
        <v>80</v>
      </c>
      <c r="K58" s="105">
        <v>76</v>
      </c>
      <c r="L58" s="105">
        <v>92</v>
      </c>
      <c r="M58" s="106">
        <v>20720</v>
      </c>
      <c r="N58" s="106">
        <v>442</v>
      </c>
      <c r="O58" s="106">
        <v>21207</v>
      </c>
      <c r="P58" s="100">
        <v>1260</v>
      </c>
      <c r="Q58" s="100">
        <v>814</v>
      </c>
      <c r="R58" s="100">
        <v>1942</v>
      </c>
    </row>
    <row r="59" spans="1:18" x14ac:dyDescent="0.25">
      <c r="A59" s="97" t="s">
        <v>79</v>
      </c>
      <c r="B59" s="97" t="s">
        <v>15</v>
      </c>
      <c r="C59" s="97" t="s">
        <v>75</v>
      </c>
      <c r="D59" s="97" t="s">
        <v>76</v>
      </c>
      <c r="E59" s="102">
        <v>42685</v>
      </c>
      <c r="F59" s="97" t="s">
        <v>87</v>
      </c>
      <c r="G59" s="97" t="s">
        <v>11</v>
      </c>
      <c r="H59" s="103">
        <v>13</v>
      </c>
      <c r="I59" s="97" t="s">
        <v>68</v>
      </c>
      <c r="J59" s="105">
        <v>79</v>
      </c>
      <c r="K59" s="105">
        <v>84</v>
      </c>
      <c r="L59" s="105">
        <v>90</v>
      </c>
      <c r="M59" s="106">
        <v>13416</v>
      </c>
      <c r="N59" s="106">
        <v>323</v>
      </c>
      <c r="O59" s="106">
        <v>2347</v>
      </c>
      <c r="P59" s="100">
        <v>738</v>
      </c>
      <c r="Q59" s="100">
        <v>1111</v>
      </c>
      <c r="R59" s="100">
        <v>725</v>
      </c>
    </row>
    <row r="60" spans="1:18" x14ac:dyDescent="0.25">
      <c r="A60" s="97" t="s">
        <v>222</v>
      </c>
      <c r="B60" s="97" t="s">
        <v>15</v>
      </c>
      <c r="C60" s="97" t="s">
        <v>223</v>
      </c>
      <c r="D60" s="97" t="s">
        <v>224</v>
      </c>
      <c r="E60" s="102">
        <v>42683</v>
      </c>
      <c r="F60" s="97" t="s">
        <v>226</v>
      </c>
      <c r="G60" s="97" t="s">
        <v>46</v>
      </c>
      <c r="H60" s="103">
        <v>6</v>
      </c>
      <c r="I60" s="97" t="s">
        <v>331</v>
      </c>
      <c r="J60" s="105">
        <v>90</v>
      </c>
      <c r="K60" s="105" t="s">
        <v>27</v>
      </c>
      <c r="L60" s="105" t="s">
        <v>27</v>
      </c>
      <c r="M60" s="106">
        <v>8413</v>
      </c>
      <c r="N60" s="106" t="s">
        <v>27</v>
      </c>
      <c r="O60" s="106" t="s">
        <v>27</v>
      </c>
      <c r="P60" s="100">
        <v>861</v>
      </c>
      <c r="Q60" s="100" t="s">
        <v>27</v>
      </c>
      <c r="R60" s="100" t="s">
        <v>27</v>
      </c>
    </row>
    <row r="61" spans="1:18" x14ac:dyDescent="0.25">
      <c r="A61" s="97" t="s">
        <v>255</v>
      </c>
      <c r="B61" s="97" t="s">
        <v>15</v>
      </c>
      <c r="C61" s="97" t="s">
        <v>256</v>
      </c>
      <c r="D61" s="97" t="s">
        <v>34</v>
      </c>
      <c r="E61" s="102">
        <v>42654</v>
      </c>
      <c r="F61" s="97" t="s">
        <v>31</v>
      </c>
      <c r="G61" s="97" t="s">
        <v>35</v>
      </c>
      <c r="H61" s="103">
        <v>9</v>
      </c>
      <c r="I61" s="97" t="s">
        <v>68</v>
      </c>
      <c r="J61" s="105">
        <v>82</v>
      </c>
      <c r="K61" s="105">
        <v>82</v>
      </c>
      <c r="L61" s="105" t="s">
        <v>27</v>
      </c>
      <c r="M61" s="106">
        <v>2552</v>
      </c>
      <c r="N61" s="106">
        <v>2691</v>
      </c>
      <c r="O61" s="106" t="s">
        <v>27</v>
      </c>
      <c r="P61" s="100">
        <v>426</v>
      </c>
      <c r="Q61" s="100">
        <v>1060</v>
      </c>
      <c r="R61" s="100" t="s">
        <v>27</v>
      </c>
    </row>
    <row r="62" spans="1:18" x14ac:dyDescent="0.25">
      <c r="A62" s="97" t="s">
        <v>263</v>
      </c>
      <c r="B62" s="97" t="s">
        <v>15</v>
      </c>
      <c r="C62" s="97" t="s">
        <v>158</v>
      </c>
      <c r="D62" s="97" t="s">
        <v>34</v>
      </c>
      <c r="E62" s="102">
        <v>42640</v>
      </c>
      <c r="F62" s="97" t="s">
        <v>159</v>
      </c>
      <c r="G62" s="97" t="s">
        <v>35</v>
      </c>
      <c r="H62" s="103">
        <v>17.5</v>
      </c>
      <c r="I62" s="97" t="s">
        <v>274</v>
      </c>
      <c r="J62" s="105">
        <v>82</v>
      </c>
      <c r="K62" s="105">
        <v>82</v>
      </c>
      <c r="L62" s="105" t="s">
        <v>27</v>
      </c>
      <c r="M62" s="106">
        <v>3411</v>
      </c>
      <c r="N62" s="106">
        <v>2000</v>
      </c>
      <c r="O62" s="106" t="s">
        <v>27</v>
      </c>
      <c r="P62" s="100">
        <v>920</v>
      </c>
      <c r="Q62" s="100">
        <v>1969</v>
      </c>
      <c r="R62" s="100" t="s">
        <v>27</v>
      </c>
    </row>
    <row r="63" spans="1:18" x14ac:dyDescent="0.25">
      <c r="A63" s="97" t="s">
        <v>326</v>
      </c>
      <c r="B63" s="97" t="s">
        <v>15</v>
      </c>
      <c r="C63" s="97" t="s">
        <v>376</v>
      </c>
      <c r="D63" s="97" t="s">
        <v>34</v>
      </c>
      <c r="E63" s="102">
        <v>42626</v>
      </c>
      <c r="F63" s="97" t="s">
        <v>31</v>
      </c>
      <c r="G63" s="97" t="s">
        <v>35</v>
      </c>
      <c r="H63" s="103">
        <v>13</v>
      </c>
      <c r="I63" s="97" t="s">
        <v>331</v>
      </c>
      <c r="J63" s="105">
        <v>62</v>
      </c>
      <c r="K63" s="105">
        <v>76</v>
      </c>
      <c r="L63" s="105" t="s">
        <v>27</v>
      </c>
      <c r="M63" s="106">
        <v>639</v>
      </c>
      <c r="N63" s="106">
        <v>899</v>
      </c>
      <c r="O63" s="106" t="s">
        <v>27</v>
      </c>
      <c r="P63" s="100">
        <v>326</v>
      </c>
      <c r="Q63" s="100">
        <v>1226</v>
      </c>
      <c r="R63" s="100" t="s">
        <v>27</v>
      </c>
    </row>
    <row r="64" spans="1:18" ht="24" x14ac:dyDescent="0.25">
      <c r="A64" s="97" t="s">
        <v>250</v>
      </c>
      <c r="B64" s="97" t="s">
        <v>15</v>
      </c>
      <c r="C64" s="97" t="s">
        <v>251</v>
      </c>
      <c r="D64" s="97" t="s">
        <v>251</v>
      </c>
      <c r="E64" s="102">
        <v>42550</v>
      </c>
      <c r="F64" s="97" t="s">
        <v>219</v>
      </c>
      <c r="G64" s="97" t="s">
        <v>58</v>
      </c>
      <c r="H64" s="103">
        <v>3.5</v>
      </c>
      <c r="I64" s="97" t="s">
        <v>68</v>
      </c>
      <c r="J64" s="105">
        <v>95</v>
      </c>
      <c r="K64" s="105">
        <v>94</v>
      </c>
      <c r="L64" s="105">
        <v>90</v>
      </c>
      <c r="M64" s="106">
        <v>16346</v>
      </c>
      <c r="N64" s="106">
        <v>576</v>
      </c>
      <c r="O64" s="106">
        <v>6482</v>
      </c>
      <c r="P64" s="100">
        <v>765</v>
      </c>
      <c r="Q64" s="100">
        <v>346</v>
      </c>
      <c r="R64" s="100">
        <v>840</v>
      </c>
    </row>
    <row r="65" spans="1:18" ht="24" x14ac:dyDescent="0.25">
      <c r="A65" s="97" t="s">
        <v>85</v>
      </c>
      <c r="B65" s="97" t="s">
        <v>17</v>
      </c>
      <c r="C65" s="97" t="s">
        <v>83</v>
      </c>
      <c r="D65" s="97" t="s">
        <v>76</v>
      </c>
      <c r="E65" s="102">
        <v>42509</v>
      </c>
      <c r="F65" s="97" t="s">
        <v>84</v>
      </c>
      <c r="G65" s="97" t="s">
        <v>11</v>
      </c>
      <c r="H65" s="103">
        <v>7</v>
      </c>
      <c r="I65" s="97" t="s">
        <v>68</v>
      </c>
      <c r="J65" s="105">
        <v>84</v>
      </c>
      <c r="K65" s="105">
        <v>90</v>
      </c>
      <c r="L65" s="105">
        <v>90</v>
      </c>
      <c r="M65" s="106">
        <v>1864</v>
      </c>
      <c r="N65" s="106">
        <v>618</v>
      </c>
      <c r="O65" s="106">
        <v>6933</v>
      </c>
      <c r="P65" s="100">
        <v>455</v>
      </c>
      <c r="Q65" s="100">
        <v>1148</v>
      </c>
      <c r="R65" s="100">
        <v>489</v>
      </c>
    </row>
    <row r="66" spans="1:18" ht="24" x14ac:dyDescent="0.25">
      <c r="A66" s="97" t="s">
        <v>19</v>
      </c>
      <c r="B66" s="97" t="s">
        <v>17</v>
      </c>
      <c r="C66" s="97" t="s">
        <v>6</v>
      </c>
      <c r="D66" s="97" t="s">
        <v>6</v>
      </c>
      <c r="E66" s="102">
        <v>42490</v>
      </c>
      <c r="F66" s="97" t="s">
        <v>56</v>
      </c>
      <c r="G66" s="97" t="s">
        <v>11</v>
      </c>
      <c r="H66" s="103">
        <v>16.3</v>
      </c>
      <c r="I66" s="97" t="s">
        <v>68</v>
      </c>
      <c r="J66" s="105">
        <v>99</v>
      </c>
      <c r="K66" s="105">
        <v>98</v>
      </c>
      <c r="L66" s="105">
        <v>99</v>
      </c>
      <c r="M66" s="106">
        <v>4907</v>
      </c>
      <c r="N66" s="106">
        <v>338</v>
      </c>
      <c r="O66" s="107">
        <v>11945</v>
      </c>
      <c r="P66" s="100">
        <v>1015</v>
      </c>
      <c r="Q66" s="100">
        <v>896</v>
      </c>
      <c r="R66" s="100">
        <v>910</v>
      </c>
    </row>
    <row r="67" spans="1:18" ht="24" x14ac:dyDescent="0.25">
      <c r="A67" s="97" t="s">
        <v>32</v>
      </c>
      <c r="B67" s="97" t="s">
        <v>15</v>
      </c>
      <c r="C67" s="97" t="s">
        <v>33</v>
      </c>
      <c r="D67" s="97" t="s">
        <v>34</v>
      </c>
      <c r="E67" s="102">
        <v>42471</v>
      </c>
      <c r="F67" s="97" t="s">
        <v>60</v>
      </c>
      <c r="G67" s="97" t="s">
        <v>35</v>
      </c>
      <c r="H67" s="103">
        <v>8.5</v>
      </c>
      <c r="I67" s="97" t="s">
        <v>274</v>
      </c>
      <c r="J67" s="105">
        <v>96</v>
      </c>
      <c r="K67" s="105">
        <v>94</v>
      </c>
      <c r="L67" s="105" t="s">
        <v>27</v>
      </c>
      <c r="M67" s="106">
        <v>12731</v>
      </c>
      <c r="N67" s="106">
        <v>364</v>
      </c>
      <c r="O67" s="106" t="s">
        <v>27</v>
      </c>
      <c r="P67" s="100">
        <v>1249</v>
      </c>
      <c r="Q67" s="100">
        <v>317</v>
      </c>
      <c r="R67" s="100" t="s">
        <v>27</v>
      </c>
    </row>
    <row r="68" spans="1:18" ht="24" x14ac:dyDescent="0.25">
      <c r="A68" s="97" t="s">
        <v>364</v>
      </c>
      <c r="B68" s="97" t="s">
        <v>15</v>
      </c>
      <c r="C68" s="97" t="s">
        <v>195</v>
      </c>
      <c r="D68" s="97" t="s">
        <v>26</v>
      </c>
      <c r="E68" s="102">
        <v>42455</v>
      </c>
      <c r="F68" s="97" t="s">
        <v>31</v>
      </c>
      <c r="G68" s="97" t="s">
        <v>28</v>
      </c>
      <c r="H68" s="103">
        <v>15</v>
      </c>
      <c r="I68" s="97" t="s">
        <v>331</v>
      </c>
      <c r="J68" s="105" t="s">
        <v>27</v>
      </c>
      <c r="K68" s="105" t="s">
        <v>27</v>
      </c>
      <c r="L68" s="105">
        <v>98</v>
      </c>
      <c r="M68" s="106" t="s">
        <v>27</v>
      </c>
      <c r="N68" s="106" t="s">
        <v>27</v>
      </c>
      <c r="O68" s="106">
        <v>4870</v>
      </c>
      <c r="P68" s="100" t="s">
        <v>27</v>
      </c>
      <c r="Q68" s="100" t="s">
        <v>27</v>
      </c>
      <c r="R68" s="100">
        <v>556</v>
      </c>
    </row>
    <row r="69" spans="1:18" ht="24" x14ac:dyDescent="0.25">
      <c r="A69" s="97" t="s">
        <v>267</v>
      </c>
      <c r="B69" s="97" t="s">
        <v>15</v>
      </c>
      <c r="C69" s="97" t="s">
        <v>268</v>
      </c>
      <c r="D69" s="97" t="s">
        <v>269</v>
      </c>
      <c r="E69" s="102">
        <v>42448</v>
      </c>
      <c r="F69" s="97" t="s">
        <v>229</v>
      </c>
      <c r="G69" s="97" t="s">
        <v>58</v>
      </c>
      <c r="H69" s="103">
        <v>12</v>
      </c>
      <c r="I69" s="97" t="s">
        <v>331</v>
      </c>
      <c r="J69" s="105">
        <v>91</v>
      </c>
      <c r="K69" s="105">
        <v>70</v>
      </c>
      <c r="L69" s="105">
        <v>90</v>
      </c>
      <c r="M69" s="106">
        <v>1413</v>
      </c>
      <c r="N69" s="106">
        <v>306</v>
      </c>
      <c r="O69" s="106">
        <v>254</v>
      </c>
      <c r="P69" s="100">
        <v>1918</v>
      </c>
      <c r="Q69" s="100">
        <v>1261</v>
      </c>
      <c r="R69" s="100">
        <v>1661</v>
      </c>
    </row>
    <row r="70" spans="1:18" x14ac:dyDescent="0.25">
      <c r="A70" s="97" t="s">
        <v>36</v>
      </c>
      <c r="B70" s="97" t="s">
        <v>15</v>
      </c>
      <c r="C70" s="97" t="s">
        <v>37</v>
      </c>
      <c r="D70" s="97" t="s">
        <v>34</v>
      </c>
      <c r="E70" s="102">
        <v>42434</v>
      </c>
      <c r="F70" s="97" t="s">
        <v>31</v>
      </c>
      <c r="G70" s="97" t="s">
        <v>35</v>
      </c>
      <c r="H70" s="103">
        <v>10</v>
      </c>
      <c r="I70" s="97" t="s">
        <v>68</v>
      </c>
      <c r="J70" s="105">
        <v>84</v>
      </c>
      <c r="K70" s="105">
        <v>82</v>
      </c>
      <c r="L70" s="105" t="s">
        <v>27</v>
      </c>
      <c r="M70" s="106">
        <v>7768</v>
      </c>
      <c r="N70" s="106">
        <v>2001</v>
      </c>
      <c r="O70" s="106" t="s">
        <v>27</v>
      </c>
      <c r="P70" s="100">
        <v>1710</v>
      </c>
      <c r="Q70" s="100">
        <v>1887</v>
      </c>
      <c r="R70" s="100" t="s">
        <v>27</v>
      </c>
    </row>
    <row r="71" spans="1:18" ht="24" x14ac:dyDescent="0.25">
      <c r="A71" s="97" t="s">
        <v>90</v>
      </c>
      <c r="B71" s="97" t="s">
        <v>15</v>
      </c>
      <c r="C71" s="97" t="s">
        <v>91</v>
      </c>
      <c r="D71" s="97" t="s">
        <v>92</v>
      </c>
      <c r="E71" s="102">
        <v>42426</v>
      </c>
      <c r="F71" s="97" t="s">
        <v>93</v>
      </c>
      <c r="G71" s="97" t="s">
        <v>172</v>
      </c>
      <c r="H71" s="103">
        <v>49</v>
      </c>
      <c r="I71" s="97" t="s">
        <v>333</v>
      </c>
      <c r="J71" s="105">
        <v>97</v>
      </c>
      <c r="K71" s="105">
        <v>94</v>
      </c>
      <c r="L71" s="105">
        <v>88</v>
      </c>
      <c r="M71" s="106">
        <v>95639</v>
      </c>
      <c r="N71" s="106">
        <v>340</v>
      </c>
      <c r="O71" s="106">
        <v>324</v>
      </c>
      <c r="P71" s="100">
        <v>394</v>
      </c>
      <c r="Q71" s="100">
        <v>524</v>
      </c>
      <c r="R71" s="100">
        <v>730</v>
      </c>
    </row>
    <row r="72" spans="1:18" x14ac:dyDescent="0.25">
      <c r="A72" s="95" t="s">
        <v>368</v>
      </c>
      <c r="B72" s="97" t="s">
        <v>15</v>
      </c>
      <c r="C72" s="95" t="s">
        <v>192</v>
      </c>
      <c r="D72" s="97" t="s">
        <v>192</v>
      </c>
      <c r="E72" s="96">
        <v>42390</v>
      </c>
      <c r="F72" s="97" t="s">
        <v>31</v>
      </c>
      <c r="G72" s="97" t="s">
        <v>28</v>
      </c>
      <c r="H72" s="103">
        <v>18</v>
      </c>
      <c r="I72" s="95" t="s">
        <v>68</v>
      </c>
      <c r="J72" s="105" t="s">
        <v>27</v>
      </c>
      <c r="K72" s="105" t="s">
        <v>27</v>
      </c>
      <c r="L72" s="105">
        <v>90</v>
      </c>
      <c r="M72" s="106" t="s">
        <v>27</v>
      </c>
      <c r="N72" s="100" t="s">
        <v>27</v>
      </c>
      <c r="O72" s="100">
        <v>2641</v>
      </c>
      <c r="P72" s="100" t="s">
        <v>27</v>
      </c>
      <c r="Q72" s="100" t="s">
        <v>27</v>
      </c>
      <c r="R72" s="100">
        <v>461</v>
      </c>
    </row>
    <row r="73" spans="1:18" ht="24" x14ac:dyDescent="0.25">
      <c r="A73" s="97" t="s">
        <v>175</v>
      </c>
      <c r="B73" s="97" t="s">
        <v>15</v>
      </c>
      <c r="C73" s="97" t="s">
        <v>176</v>
      </c>
      <c r="D73" s="97" t="s">
        <v>176</v>
      </c>
      <c r="E73" s="102">
        <v>42383</v>
      </c>
      <c r="F73" s="97" t="s">
        <v>67</v>
      </c>
      <c r="G73" s="97" t="s">
        <v>58</v>
      </c>
      <c r="H73" s="103">
        <v>4.5</v>
      </c>
      <c r="I73" s="97" t="s">
        <v>331</v>
      </c>
      <c r="J73" s="105">
        <v>93</v>
      </c>
      <c r="K73" s="105">
        <v>94</v>
      </c>
      <c r="L73" s="105">
        <v>90</v>
      </c>
      <c r="M73" s="106">
        <v>5196</v>
      </c>
      <c r="N73" s="106">
        <v>388</v>
      </c>
      <c r="O73" s="106">
        <v>1094</v>
      </c>
      <c r="P73" s="100">
        <v>415</v>
      </c>
      <c r="Q73" s="100">
        <v>1732</v>
      </c>
      <c r="R73" s="100">
        <v>791</v>
      </c>
    </row>
    <row r="74" spans="1:18" x14ac:dyDescent="0.25">
      <c r="A74" s="97" t="s">
        <v>336</v>
      </c>
      <c r="B74" s="97" t="s">
        <v>15</v>
      </c>
      <c r="C74" s="97" t="s">
        <v>344</v>
      </c>
      <c r="D74" s="97" t="s">
        <v>114</v>
      </c>
      <c r="E74" s="102">
        <v>42327</v>
      </c>
      <c r="F74" s="97" t="s">
        <v>57</v>
      </c>
      <c r="G74" s="97" t="s">
        <v>11</v>
      </c>
      <c r="H74" s="103">
        <v>18</v>
      </c>
      <c r="I74" s="97" t="s">
        <v>68</v>
      </c>
      <c r="J74" s="105">
        <v>75</v>
      </c>
      <c r="K74" s="105">
        <v>72</v>
      </c>
      <c r="L74" s="105">
        <v>86</v>
      </c>
      <c r="M74" s="106">
        <v>8004</v>
      </c>
      <c r="N74" s="106">
        <v>682</v>
      </c>
      <c r="O74" s="106">
        <v>8169</v>
      </c>
      <c r="P74" s="100">
        <v>1821</v>
      </c>
      <c r="Q74" s="100">
        <v>1393</v>
      </c>
      <c r="R74" s="100">
        <v>595</v>
      </c>
    </row>
    <row r="75" spans="1:18" ht="24" x14ac:dyDescent="0.25">
      <c r="A75" s="97" t="s">
        <v>82</v>
      </c>
      <c r="B75" s="97" t="s">
        <v>15</v>
      </c>
      <c r="C75" s="97" t="s">
        <v>83</v>
      </c>
      <c r="D75" s="97" t="s">
        <v>76</v>
      </c>
      <c r="E75" s="102">
        <v>42318</v>
      </c>
      <c r="F75" s="97" t="s">
        <v>84</v>
      </c>
      <c r="G75" s="97" t="s">
        <v>11</v>
      </c>
      <c r="H75" s="103">
        <v>27</v>
      </c>
      <c r="I75" s="97" t="s">
        <v>68</v>
      </c>
      <c r="J75" s="105">
        <v>70</v>
      </c>
      <c r="K75" s="105">
        <v>74</v>
      </c>
      <c r="L75" s="105">
        <v>90</v>
      </c>
      <c r="M75" s="106">
        <v>87213</v>
      </c>
      <c r="N75" s="106">
        <v>2002</v>
      </c>
      <c r="O75" s="106">
        <v>10796</v>
      </c>
      <c r="P75" s="100">
        <v>1488</v>
      </c>
      <c r="Q75" s="100">
        <v>1308</v>
      </c>
      <c r="R75" s="100">
        <v>992</v>
      </c>
    </row>
    <row r="76" spans="1:18" x14ac:dyDescent="0.25">
      <c r="A76" s="97" t="s">
        <v>107</v>
      </c>
      <c r="B76" s="97" t="s">
        <v>15</v>
      </c>
      <c r="C76" s="97" t="s">
        <v>108</v>
      </c>
      <c r="D76" s="97" t="s">
        <v>29</v>
      </c>
      <c r="E76" s="102">
        <v>42318</v>
      </c>
      <c r="F76" s="97" t="s">
        <v>31</v>
      </c>
      <c r="G76" s="97" t="s">
        <v>11</v>
      </c>
      <c r="H76" s="103">
        <v>13.5</v>
      </c>
      <c r="I76" s="97" t="s">
        <v>68</v>
      </c>
      <c r="J76" s="105">
        <v>92</v>
      </c>
      <c r="K76" s="105">
        <v>92</v>
      </c>
      <c r="L76" s="105">
        <v>88</v>
      </c>
      <c r="M76" s="106">
        <v>34084</v>
      </c>
      <c r="N76" s="106">
        <v>1212</v>
      </c>
      <c r="O76" s="106">
        <v>12590</v>
      </c>
      <c r="P76" s="100">
        <v>1944</v>
      </c>
      <c r="Q76" s="100">
        <v>488</v>
      </c>
      <c r="R76" s="100">
        <v>1653</v>
      </c>
    </row>
    <row r="77" spans="1:18" x14ac:dyDescent="0.25">
      <c r="A77" s="97" t="s">
        <v>261</v>
      </c>
      <c r="B77" s="97" t="s">
        <v>15</v>
      </c>
      <c r="C77" s="97" t="s">
        <v>373</v>
      </c>
      <c r="D77" s="97" t="s">
        <v>262</v>
      </c>
      <c r="E77" s="102">
        <v>42298</v>
      </c>
      <c r="F77" s="97" t="s">
        <v>227</v>
      </c>
      <c r="G77" s="97" t="s">
        <v>35</v>
      </c>
      <c r="H77" s="103">
        <v>8.5</v>
      </c>
      <c r="I77" s="97" t="s">
        <v>333</v>
      </c>
      <c r="J77" s="105">
        <v>86</v>
      </c>
      <c r="K77" s="105">
        <v>82</v>
      </c>
      <c r="L77" s="105" t="s">
        <v>27</v>
      </c>
      <c r="M77" s="106">
        <v>3814</v>
      </c>
      <c r="N77" s="106">
        <v>211</v>
      </c>
      <c r="O77" s="106" t="s">
        <v>27</v>
      </c>
      <c r="P77" s="100">
        <v>750</v>
      </c>
      <c r="Q77" s="100">
        <v>1807</v>
      </c>
      <c r="R77" s="100" t="s">
        <v>27</v>
      </c>
    </row>
    <row r="78" spans="1:18" ht="24" x14ac:dyDescent="0.25">
      <c r="A78" s="97" t="s">
        <v>16</v>
      </c>
      <c r="B78" s="97" t="s">
        <v>17</v>
      </c>
      <c r="C78" s="97" t="s">
        <v>6</v>
      </c>
      <c r="D78" s="97" t="s">
        <v>6</v>
      </c>
      <c r="E78" s="102">
        <v>42290</v>
      </c>
      <c r="F78" s="97" t="s">
        <v>56</v>
      </c>
      <c r="G78" s="97" t="s">
        <v>11</v>
      </c>
      <c r="H78" s="103">
        <v>10</v>
      </c>
      <c r="I78" s="97" t="s">
        <v>68</v>
      </c>
      <c r="J78" s="105">
        <v>97</v>
      </c>
      <c r="K78" s="105">
        <v>96</v>
      </c>
      <c r="L78" s="105">
        <v>99</v>
      </c>
      <c r="M78" s="106">
        <v>3201</v>
      </c>
      <c r="N78" s="106">
        <v>1965</v>
      </c>
      <c r="O78" s="100">
        <v>16322</v>
      </c>
      <c r="P78" s="100">
        <v>1253</v>
      </c>
      <c r="Q78" s="100">
        <v>821</v>
      </c>
      <c r="R78" s="100">
        <v>982</v>
      </c>
    </row>
    <row r="79" spans="1:18" x14ac:dyDescent="0.25">
      <c r="A79" s="97" t="s">
        <v>324</v>
      </c>
      <c r="B79" s="97" t="s">
        <v>15</v>
      </c>
      <c r="C79" s="97" t="s">
        <v>288</v>
      </c>
      <c r="D79" s="97" t="s">
        <v>34</v>
      </c>
      <c r="E79" s="102">
        <v>42262</v>
      </c>
      <c r="F79" s="97" t="s">
        <v>289</v>
      </c>
      <c r="G79" s="97" t="s">
        <v>325</v>
      </c>
      <c r="H79" s="103">
        <v>24</v>
      </c>
      <c r="I79" s="97" t="s">
        <v>274</v>
      </c>
      <c r="J79" s="105" t="s">
        <v>27</v>
      </c>
      <c r="K79" s="105">
        <v>84</v>
      </c>
      <c r="L79" s="105" t="s">
        <v>27</v>
      </c>
      <c r="M79" s="106" t="s">
        <v>27</v>
      </c>
      <c r="N79" s="106">
        <v>765</v>
      </c>
      <c r="O79" s="106" t="s">
        <v>27</v>
      </c>
      <c r="P79" s="100" t="s">
        <v>27</v>
      </c>
      <c r="Q79" s="100">
        <v>737</v>
      </c>
      <c r="R79" s="100" t="s">
        <v>27</v>
      </c>
    </row>
    <row r="80" spans="1:18" ht="24" x14ac:dyDescent="0.25">
      <c r="A80" s="97" t="s">
        <v>117</v>
      </c>
      <c r="B80" s="97" t="s">
        <v>15</v>
      </c>
      <c r="C80" s="97" t="s">
        <v>118</v>
      </c>
      <c r="D80" s="97" t="s">
        <v>7</v>
      </c>
      <c r="E80" s="102">
        <v>42248</v>
      </c>
      <c r="F80" s="97" t="s">
        <v>57</v>
      </c>
      <c r="G80" s="97" t="s">
        <v>11</v>
      </c>
      <c r="H80" s="103">
        <v>19.5</v>
      </c>
      <c r="I80" s="97" t="s">
        <v>68</v>
      </c>
      <c r="J80" s="105">
        <v>89</v>
      </c>
      <c r="K80" s="105">
        <v>86</v>
      </c>
      <c r="L80" s="105">
        <v>90</v>
      </c>
      <c r="M80" s="106">
        <v>21712</v>
      </c>
      <c r="N80" s="106">
        <v>673</v>
      </c>
      <c r="O80" s="106">
        <v>13098</v>
      </c>
      <c r="P80" s="100">
        <v>827</v>
      </c>
      <c r="Q80" s="100">
        <v>598</v>
      </c>
      <c r="R80" s="100">
        <v>1973</v>
      </c>
    </row>
    <row r="81" spans="1:18" ht="24" x14ac:dyDescent="0.25">
      <c r="A81" s="97" t="s">
        <v>3</v>
      </c>
      <c r="B81" s="97" t="s">
        <v>15</v>
      </c>
      <c r="C81" s="97" t="s">
        <v>6</v>
      </c>
      <c r="D81" s="97" t="s">
        <v>7</v>
      </c>
      <c r="E81" s="102">
        <v>42143</v>
      </c>
      <c r="F81" s="97" t="s">
        <v>56</v>
      </c>
      <c r="G81" s="97" t="s">
        <v>11</v>
      </c>
      <c r="H81" s="103">
        <v>51</v>
      </c>
      <c r="I81" s="97" t="s">
        <v>68</v>
      </c>
      <c r="J81" s="105">
        <v>97</v>
      </c>
      <c r="K81" s="105">
        <v>98</v>
      </c>
      <c r="L81" s="105">
        <v>99</v>
      </c>
      <c r="M81" s="106">
        <v>164241</v>
      </c>
      <c r="N81" s="106">
        <v>2000</v>
      </c>
      <c r="O81" s="100">
        <v>11018</v>
      </c>
      <c r="P81" s="100">
        <v>1811</v>
      </c>
      <c r="Q81" s="100">
        <v>1570</v>
      </c>
      <c r="R81" s="100">
        <v>1714</v>
      </c>
    </row>
    <row r="82" spans="1:18" x14ac:dyDescent="0.25">
      <c r="A82" s="97" t="s">
        <v>154</v>
      </c>
      <c r="B82" s="97" t="s">
        <v>15</v>
      </c>
      <c r="C82" s="97" t="s">
        <v>147</v>
      </c>
      <c r="D82" s="97" t="s">
        <v>76</v>
      </c>
      <c r="E82" s="102">
        <v>42129</v>
      </c>
      <c r="F82" s="97" t="s">
        <v>50</v>
      </c>
      <c r="G82" s="97" t="s">
        <v>11</v>
      </c>
      <c r="H82" s="103">
        <v>6</v>
      </c>
      <c r="I82" s="97" t="s">
        <v>68</v>
      </c>
      <c r="J82" s="105">
        <v>88</v>
      </c>
      <c r="K82" s="105">
        <v>90</v>
      </c>
      <c r="L82" s="105">
        <v>86</v>
      </c>
      <c r="M82" s="106">
        <v>4745</v>
      </c>
      <c r="N82" s="106">
        <v>385</v>
      </c>
      <c r="O82" s="106">
        <v>5324</v>
      </c>
      <c r="P82" s="100">
        <v>355</v>
      </c>
      <c r="Q82" s="100">
        <v>658</v>
      </c>
      <c r="R82" s="100">
        <v>1716</v>
      </c>
    </row>
    <row r="83" spans="1:18" ht="24" x14ac:dyDescent="0.25">
      <c r="A83" s="97" t="s">
        <v>164</v>
      </c>
      <c r="B83" s="97" t="s">
        <v>15</v>
      </c>
      <c r="C83" s="97" t="s">
        <v>165</v>
      </c>
      <c r="D83" s="97" t="s">
        <v>166</v>
      </c>
      <c r="E83" s="102">
        <v>42118</v>
      </c>
      <c r="F83" s="97" t="s">
        <v>100</v>
      </c>
      <c r="G83" s="97" t="s">
        <v>28</v>
      </c>
      <c r="H83" s="103">
        <v>35.5</v>
      </c>
      <c r="I83" s="97" t="s">
        <v>68</v>
      </c>
      <c r="J83" s="105" t="s">
        <v>27</v>
      </c>
      <c r="K83" s="105" t="s">
        <v>27</v>
      </c>
      <c r="L83" s="105">
        <v>92</v>
      </c>
      <c r="M83" s="106" t="s">
        <v>27</v>
      </c>
      <c r="N83" s="106" t="s">
        <v>27</v>
      </c>
      <c r="O83" s="106">
        <v>36619</v>
      </c>
      <c r="P83" s="100" t="s">
        <v>27</v>
      </c>
      <c r="Q83" s="100" t="s">
        <v>27</v>
      </c>
      <c r="R83" s="100">
        <v>619</v>
      </c>
    </row>
    <row r="84" spans="1:18" ht="24" x14ac:dyDescent="0.25">
      <c r="A84" s="97" t="s">
        <v>252</v>
      </c>
      <c r="B84" s="97" t="s">
        <v>15</v>
      </c>
      <c r="C84" s="97" t="s">
        <v>253</v>
      </c>
      <c r="D84" s="97" t="s">
        <v>232</v>
      </c>
      <c r="E84" s="102">
        <v>42104</v>
      </c>
      <c r="F84" s="97" t="s">
        <v>149</v>
      </c>
      <c r="G84" s="97" t="s">
        <v>254</v>
      </c>
      <c r="H84" s="103">
        <v>9</v>
      </c>
      <c r="I84" s="97" t="s">
        <v>68</v>
      </c>
      <c r="J84" s="105">
        <v>91</v>
      </c>
      <c r="K84" s="105" t="s">
        <v>27</v>
      </c>
      <c r="L84" s="105">
        <v>90</v>
      </c>
      <c r="M84" s="106">
        <v>19555</v>
      </c>
      <c r="N84" s="106" t="s">
        <v>27</v>
      </c>
      <c r="O84" s="106">
        <v>5997</v>
      </c>
      <c r="P84" s="100">
        <v>394</v>
      </c>
      <c r="Q84" s="100" t="s">
        <v>27</v>
      </c>
      <c r="R84" s="100">
        <v>1918</v>
      </c>
    </row>
    <row r="85" spans="1:18" ht="24" x14ac:dyDescent="0.25">
      <c r="A85" s="97" t="s">
        <v>297</v>
      </c>
      <c r="B85" s="97" t="s">
        <v>15</v>
      </c>
      <c r="C85" s="97" t="s">
        <v>422</v>
      </c>
      <c r="D85" s="97" t="s">
        <v>166</v>
      </c>
      <c r="E85" s="102">
        <v>42055</v>
      </c>
      <c r="F85" s="97" t="s">
        <v>31</v>
      </c>
      <c r="G85" s="97" t="s">
        <v>28</v>
      </c>
      <c r="H85" s="103">
        <v>7</v>
      </c>
      <c r="I85" s="97" t="s">
        <v>68</v>
      </c>
      <c r="J85" s="105" t="s">
        <v>27</v>
      </c>
      <c r="K85" s="105" t="s">
        <v>27</v>
      </c>
      <c r="L85" s="105">
        <v>88</v>
      </c>
      <c r="M85" s="106" t="s">
        <v>27</v>
      </c>
      <c r="N85" s="106" t="s">
        <v>27</v>
      </c>
      <c r="O85" s="106">
        <v>13943</v>
      </c>
      <c r="P85" s="100" t="s">
        <v>27</v>
      </c>
      <c r="Q85" s="100" t="s">
        <v>27</v>
      </c>
      <c r="R85" s="100">
        <v>1584</v>
      </c>
    </row>
    <row r="86" spans="1:18" ht="24" x14ac:dyDescent="0.25">
      <c r="A86" s="97" t="s">
        <v>180</v>
      </c>
      <c r="B86" s="97" t="s">
        <v>15</v>
      </c>
      <c r="C86" s="97" t="s">
        <v>181</v>
      </c>
      <c r="D86" s="97" t="s">
        <v>181</v>
      </c>
      <c r="E86" s="102">
        <v>42038</v>
      </c>
      <c r="F86" s="97" t="s">
        <v>229</v>
      </c>
      <c r="G86" s="97" t="s">
        <v>58</v>
      </c>
      <c r="H86" s="103">
        <v>54</v>
      </c>
      <c r="I86" s="97" t="s">
        <v>331</v>
      </c>
      <c r="J86" s="105">
        <v>85</v>
      </c>
      <c r="K86" s="105">
        <v>94</v>
      </c>
      <c r="L86" s="105">
        <v>90</v>
      </c>
      <c r="M86" s="106">
        <v>39952</v>
      </c>
      <c r="N86" s="106">
        <v>83</v>
      </c>
      <c r="O86" s="106">
        <v>2909</v>
      </c>
      <c r="P86" s="100">
        <v>1706</v>
      </c>
      <c r="Q86" s="100">
        <v>627</v>
      </c>
      <c r="R86" s="100">
        <v>1976</v>
      </c>
    </row>
    <row r="87" spans="1:18" ht="24" x14ac:dyDescent="0.25">
      <c r="A87" s="97" t="s">
        <v>53</v>
      </c>
      <c r="B87" s="97" t="s">
        <v>15</v>
      </c>
      <c r="C87" s="97" t="s">
        <v>66</v>
      </c>
      <c r="D87" s="97" t="s">
        <v>29</v>
      </c>
      <c r="E87" s="102">
        <v>42034</v>
      </c>
      <c r="F87" s="97" t="s">
        <v>67</v>
      </c>
      <c r="G87" s="97" t="s">
        <v>21</v>
      </c>
      <c r="H87" s="103">
        <v>14</v>
      </c>
      <c r="I87" s="97" t="s">
        <v>68</v>
      </c>
      <c r="J87" s="105">
        <v>96</v>
      </c>
      <c r="K87" s="105">
        <v>94</v>
      </c>
      <c r="L87" s="105">
        <v>90</v>
      </c>
      <c r="M87" s="106">
        <v>119422</v>
      </c>
      <c r="N87" s="106">
        <v>719</v>
      </c>
      <c r="O87" s="106">
        <v>23597</v>
      </c>
      <c r="P87" s="100">
        <v>1521</v>
      </c>
      <c r="Q87" s="100">
        <v>1084</v>
      </c>
      <c r="R87" s="100">
        <v>577</v>
      </c>
    </row>
    <row r="88" spans="1:18" ht="24" x14ac:dyDescent="0.25">
      <c r="A88" s="97" t="s">
        <v>198</v>
      </c>
      <c r="B88" s="97" t="s">
        <v>15</v>
      </c>
      <c r="C88" s="97" t="s">
        <v>199</v>
      </c>
      <c r="D88" s="97" t="s">
        <v>168</v>
      </c>
      <c r="E88" s="102">
        <v>42031</v>
      </c>
      <c r="F88" s="97" t="s">
        <v>200</v>
      </c>
      <c r="G88" s="97" t="s">
        <v>11</v>
      </c>
      <c r="H88" s="103">
        <v>18</v>
      </c>
      <c r="I88" s="97" t="s">
        <v>68</v>
      </c>
      <c r="J88" s="105">
        <v>92</v>
      </c>
      <c r="K88" s="105">
        <v>86</v>
      </c>
      <c r="L88" s="105">
        <v>90</v>
      </c>
      <c r="M88" s="106">
        <v>53908</v>
      </c>
      <c r="N88" s="106">
        <v>1371</v>
      </c>
      <c r="O88" s="106">
        <v>25482</v>
      </c>
      <c r="P88" s="100">
        <v>725</v>
      </c>
      <c r="Q88" s="100">
        <v>616</v>
      </c>
      <c r="R88" s="100">
        <v>1581</v>
      </c>
    </row>
    <row r="89" spans="1:18" ht="24" x14ac:dyDescent="0.25">
      <c r="A89" s="97" t="s">
        <v>174</v>
      </c>
      <c r="B89" s="97" t="s">
        <v>15</v>
      </c>
      <c r="C89" s="97" t="s">
        <v>161</v>
      </c>
      <c r="D89" s="97" t="s">
        <v>161</v>
      </c>
      <c r="E89" s="102">
        <v>41968</v>
      </c>
      <c r="F89" s="97" t="s">
        <v>67</v>
      </c>
      <c r="G89" s="97" t="s">
        <v>21</v>
      </c>
      <c r="H89" s="103">
        <v>10.5</v>
      </c>
      <c r="I89" s="97" t="s">
        <v>68</v>
      </c>
      <c r="J89" s="105">
        <v>95</v>
      </c>
      <c r="K89" s="105">
        <v>94</v>
      </c>
      <c r="L89" s="105">
        <v>90</v>
      </c>
      <c r="M89" s="106">
        <v>11510</v>
      </c>
      <c r="N89" s="106">
        <v>729</v>
      </c>
      <c r="O89" s="106">
        <v>22291</v>
      </c>
      <c r="P89" s="100">
        <v>1615</v>
      </c>
      <c r="Q89" s="100">
        <v>1854</v>
      </c>
      <c r="R89" s="100">
        <v>1288</v>
      </c>
    </row>
    <row r="90" spans="1:18" ht="24" x14ac:dyDescent="0.25">
      <c r="A90" s="97" t="s">
        <v>145</v>
      </c>
      <c r="B90" s="97" t="s">
        <v>15</v>
      </c>
      <c r="C90" s="97" t="s">
        <v>113</v>
      </c>
      <c r="D90" s="97" t="s">
        <v>114</v>
      </c>
      <c r="E90" s="102">
        <v>41961</v>
      </c>
      <c r="F90" s="97" t="s">
        <v>115</v>
      </c>
      <c r="G90" s="97" t="s">
        <v>21</v>
      </c>
      <c r="H90" s="103">
        <v>17.5</v>
      </c>
      <c r="I90" s="97" t="s">
        <v>68</v>
      </c>
      <c r="J90" s="105">
        <v>77</v>
      </c>
      <c r="K90" s="105">
        <v>86</v>
      </c>
      <c r="L90" s="105">
        <v>90</v>
      </c>
      <c r="M90" s="106">
        <v>18019</v>
      </c>
      <c r="N90" s="106">
        <v>1075</v>
      </c>
      <c r="O90" s="106">
        <v>34240</v>
      </c>
      <c r="P90" s="100">
        <v>1883</v>
      </c>
      <c r="Q90" s="100">
        <v>1419</v>
      </c>
      <c r="R90" s="100">
        <v>480</v>
      </c>
    </row>
    <row r="91" spans="1:18" x14ac:dyDescent="0.25">
      <c r="A91" s="97" t="s">
        <v>209</v>
      </c>
      <c r="B91" s="97" t="s">
        <v>15</v>
      </c>
      <c r="C91" s="97" t="s">
        <v>210</v>
      </c>
      <c r="D91" s="97" t="s">
        <v>210</v>
      </c>
      <c r="E91" s="102">
        <v>41957</v>
      </c>
      <c r="F91" s="97" t="s">
        <v>67</v>
      </c>
      <c r="G91" s="97" t="s">
        <v>11</v>
      </c>
      <c r="H91" s="103">
        <v>10.5</v>
      </c>
      <c r="I91" s="97" t="s">
        <v>68</v>
      </c>
      <c r="J91" s="105">
        <v>95</v>
      </c>
      <c r="K91" s="105">
        <v>86</v>
      </c>
      <c r="L91" s="105">
        <v>90</v>
      </c>
      <c r="M91" s="106">
        <v>41001</v>
      </c>
      <c r="N91" s="106">
        <v>266</v>
      </c>
      <c r="O91" s="106">
        <v>10974</v>
      </c>
      <c r="P91" s="100">
        <v>576</v>
      </c>
      <c r="Q91" s="100">
        <v>1353</v>
      </c>
      <c r="R91" s="100">
        <v>1090</v>
      </c>
    </row>
    <row r="92" spans="1:18" ht="24" x14ac:dyDescent="0.25">
      <c r="A92" s="97" t="s">
        <v>337</v>
      </c>
      <c r="B92" s="97" t="s">
        <v>15</v>
      </c>
      <c r="C92" s="97" t="s">
        <v>345</v>
      </c>
      <c r="D92" s="97" t="s">
        <v>114</v>
      </c>
      <c r="E92" s="102">
        <v>41956</v>
      </c>
      <c r="F92" s="97" t="s">
        <v>57</v>
      </c>
      <c r="G92" s="97" t="s">
        <v>338</v>
      </c>
      <c r="H92" s="103">
        <v>10.5</v>
      </c>
      <c r="I92" s="97" t="s">
        <v>68</v>
      </c>
      <c r="J92" s="105">
        <v>80</v>
      </c>
      <c r="K92" s="105">
        <v>92</v>
      </c>
      <c r="L92" s="105">
        <v>90</v>
      </c>
      <c r="M92" s="106">
        <v>4542</v>
      </c>
      <c r="N92" s="106">
        <v>144</v>
      </c>
      <c r="O92" s="106">
        <v>394</v>
      </c>
      <c r="P92" s="100">
        <v>1965</v>
      </c>
      <c r="Q92" s="100">
        <v>1989</v>
      </c>
      <c r="R92" s="100">
        <v>875</v>
      </c>
    </row>
    <row r="93" spans="1:18" x14ac:dyDescent="0.25">
      <c r="A93" s="97" t="s">
        <v>339</v>
      </c>
      <c r="B93" s="97" t="s">
        <v>15</v>
      </c>
      <c r="C93" s="97" t="s">
        <v>113</v>
      </c>
      <c r="D93" s="97" t="s">
        <v>114</v>
      </c>
      <c r="E93" s="102">
        <v>41956</v>
      </c>
      <c r="F93" s="97" t="s">
        <v>57</v>
      </c>
      <c r="G93" s="97" t="s">
        <v>11</v>
      </c>
      <c r="H93" s="103">
        <v>17</v>
      </c>
      <c r="I93" s="97" t="s">
        <v>68</v>
      </c>
      <c r="J93" s="105">
        <v>59</v>
      </c>
      <c r="K93" s="105">
        <v>76</v>
      </c>
      <c r="L93" s="105">
        <v>80</v>
      </c>
      <c r="M93" s="106">
        <v>15713</v>
      </c>
      <c r="N93" s="106">
        <v>1811</v>
      </c>
      <c r="O93" s="106">
        <v>15013</v>
      </c>
      <c r="P93" s="100">
        <v>643</v>
      </c>
      <c r="Q93" s="100">
        <v>403</v>
      </c>
      <c r="R93" s="100">
        <v>476</v>
      </c>
    </row>
    <row r="94" spans="1:18" x14ac:dyDescent="0.25">
      <c r="A94" s="97" t="s">
        <v>148</v>
      </c>
      <c r="B94" s="97" t="s">
        <v>15</v>
      </c>
      <c r="C94" s="97" t="s">
        <v>25</v>
      </c>
      <c r="D94" s="97" t="s">
        <v>34</v>
      </c>
      <c r="E94" s="102">
        <v>41940</v>
      </c>
      <c r="F94" s="97" t="s">
        <v>149</v>
      </c>
      <c r="G94" s="97" t="s">
        <v>35</v>
      </c>
      <c r="H94" s="103">
        <v>10.5</v>
      </c>
      <c r="I94" s="97" t="s">
        <v>68</v>
      </c>
      <c r="J94" s="105">
        <v>90</v>
      </c>
      <c r="K94" s="105">
        <v>86</v>
      </c>
      <c r="L94" s="105" t="s">
        <v>27</v>
      </c>
      <c r="M94" s="106">
        <v>1477</v>
      </c>
      <c r="N94" s="106">
        <v>1495</v>
      </c>
      <c r="O94" s="106" t="s">
        <v>27</v>
      </c>
      <c r="P94" s="100">
        <v>697</v>
      </c>
      <c r="Q94" s="100">
        <v>1154</v>
      </c>
      <c r="R94" s="100" t="s">
        <v>27</v>
      </c>
    </row>
    <row r="95" spans="1:18" ht="24" x14ac:dyDescent="0.25">
      <c r="A95" s="97" t="s">
        <v>202</v>
      </c>
      <c r="B95" s="97" t="s">
        <v>15</v>
      </c>
      <c r="C95" s="97" t="s">
        <v>178</v>
      </c>
      <c r="D95" s="97" t="s">
        <v>76</v>
      </c>
      <c r="E95" s="102">
        <v>41926</v>
      </c>
      <c r="F95" s="97" t="s">
        <v>179</v>
      </c>
      <c r="G95" s="97" t="s">
        <v>21</v>
      </c>
      <c r="H95" s="103">
        <v>16</v>
      </c>
      <c r="I95" s="97" t="s">
        <v>68</v>
      </c>
      <c r="J95" s="105">
        <v>80</v>
      </c>
      <c r="K95" s="105">
        <v>86</v>
      </c>
      <c r="L95" s="105">
        <v>90</v>
      </c>
      <c r="M95" s="106">
        <v>7469</v>
      </c>
      <c r="N95" s="106">
        <v>629</v>
      </c>
      <c r="O95" s="106">
        <v>7396</v>
      </c>
      <c r="P95" s="100">
        <v>1165</v>
      </c>
      <c r="Q95" s="100">
        <v>417</v>
      </c>
      <c r="R95" s="100">
        <v>1819</v>
      </c>
    </row>
    <row r="96" spans="1:18" ht="24" x14ac:dyDescent="0.25">
      <c r="A96" s="97" t="s">
        <v>190</v>
      </c>
      <c r="B96" s="97" t="s">
        <v>15</v>
      </c>
      <c r="C96" s="97" t="s">
        <v>191</v>
      </c>
      <c r="D96" s="97" t="s">
        <v>192</v>
      </c>
      <c r="E96" s="102">
        <v>41919</v>
      </c>
      <c r="F96" s="97" t="s">
        <v>193</v>
      </c>
      <c r="G96" s="97" t="s">
        <v>21</v>
      </c>
      <c r="H96" s="103">
        <v>18.5</v>
      </c>
      <c r="I96" s="97" t="s">
        <v>68</v>
      </c>
      <c r="J96" s="105">
        <v>91</v>
      </c>
      <c r="K96" s="105">
        <v>88</v>
      </c>
      <c r="L96" s="105">
        <v>92</v>
      </c>
      <c r="M96" s="106">
        <v>16753</v>
      </c>
      <c r="N96" s="106">
        <v>638</v>
      </c>
      <c r="O96" s="106">
        <v>11015</v>
      </c>
      <c r="P96" s="100">
        <v>1807</v>
      </c>
      <c r="Q96" s="100">
        <v>1010</v>
      </c>
      <c r="R96" s="100">
        <v>473</v>
      </c>
    </row>
    <row r="97" spans="1:18" x14ac:dyDescent="0.25">
      <c r="A97" s="97" t="s">
        <v>300</v>
      </c>
      <c r="B97" s="97" t="s">
        <v>15</v>
      </c>
      <c r="C97" s="97" t="s">
        <v>158</v>
      </c>
      <c r="D97" s="97" t="s">
        <v>34</v>
      </c>
      <c r="E97" s="102">
        <v>41915</v>
      </c>
      <c r="F97" s="97" t="s">
        <v>159</v>
      </c>
      <c r="G97" s="97" t="s">
        <v>284</v>
      </c>
      <c r="H97" s="103">
        <v>19</v>
      </c>
      <c r="I97" s="97" t="s">
        <v>333</v>
      </c>
      <c r="J97" s="105" t="s">
        <v>27</v>
      </c>
      <c r="K97" s="105">
        <v>82</v>
      </c>
      <c r="L97" s="105" t="s">
        <v>27</v>
      </c>
      <c r="M97" s="106" t="s">
        <v>27</v>
      </c>
      <c r="N97" s="106">
        <v>1144</v>
      </c>
      <c r="O97" s="106" t="s">
        <v>27</v>
      </c>
      <c r="P97" s="100" t="s">
        <v>27</v>
      </c>
      <c r="Q97" s="100">
        <v>631</v>
      </c>
      <c r="R97" s="100" t="s">
        <v>27</v>
      </c>
    </row>
    <row r="98" spans="1:18" ht="24" x14ac:dyDescent="0.25">
      <c r="A98" s="97" t="s">
        <v>94</v>
      </c>
      <c r="B98" s="97" t="s">
        <v>15</v>
      </c>
      <c r="C98" s="97" t="s">
        <v>96</v>
      </c>
      <c r="D98" s="97" t="s">
        <v>7</v>
      </c>
      <c r="E98" s="102">
        <v>41912</v>
      </c>
      <c r="F98" s="97" t="s">
        <v>95</v>
      </c>
      <c r="G98" s="97" t="s">
        <v>21</v>
      </c>
      <c r="H98" s="103">
        <v>16</v>
      </c>
      <c r="I98" s="97" t="s">
        <v>68</v>
      </c>
      <c r="J98" s="105">
        <v>91</v>
      </c>
      <c r="K98" s="105">
        <v>86</v>
      </c>
      <c r="L98" s="105">
        <v>90</v>
      </c>
      <c r="M98" s="106">
        <v>34389</v>
      </c>
      <c r="N98" s="106">
        <v>453</v>
      </c>
      <c r="O98" s="106">
        <v>7136</v>
      </c>
      <c r="P98" s="100">
        <v>1844</v>
      </c>
      <c r="Q98" s="100">
        <v>1813</v>
      </c>
      <c r="R98" s="100">
        <v>1865</v>
      </c>
    </row>
    <row r="99" spans="1:18" x14ac:dyDescent="0.25">
      <c r="A99" s="97" t="s">
        <v>314</v>
      </c>
      <c r="B99" s="97" t="s">
        <v>15</v>
      </c>
      <c r="C99" s="97" t="s">
        <v>315</v>
      </c>
      <c r="D99" s="97" t="s">
        <v>34</v>
      </c>
      <c r="E99" s="102">
        <v>41900</v>
      </c>
      <c r="F99" s="97" t="s">
        <v>31</v>
      </c>
      <c r="G99" s="97" t="s">
        <v>35</v>
      </c>
      <c r="H99" s="103">
        <v>4.5</v>
      </c>
      <c r="I99" s="97" t="s">
        <v>68</v>
      </c>
      <c r="J99" s="105">
        <v>81</v>
      </c>
      <c r="K99" s="105">
        <v>80</v>
      </c>
      <c r="L99" s="105" t="s">
        <v>27</v>
      </c>
      <c r="M99" s="106">
        <v>1375</v>
      </c>
      <c r="N99" s="106">
        <v>586</v>
      </c>
      <c r="O99" s="106" t="s">
        <v>27</v>
      </c>
      <c r="P99" s="100">
        <v>993</v>
      </c>
      <c r="Q99" s="100">
        <v>775</v>
      </c>
      <c r="R99" s="100" t="s">
        <v>27</v>
      </c>
    </row>
    <row r="100" spans="1:18" ht="24" x14ac:dyDescent="0.25">
      <c r="A100" s="97" t="s">
        <v>277</v>
      </c>
      <c r="B100" s="97" t="s">
        <v>15</v>
      </c>
      <c r="C100" s="97" t="s">
        <v>278</v>
      </c>
      <c r="D100" s="97" t="s">
        <v>114</v>
      </c>
      <c r="E100" s="102">
        <v>41815</v>
      </c>
      <c r="F100" s="97" t="s">
        <v>67</v>
      </c>
      <c r="G100" s="97" t="s">
        <v>21</v>
      </c>
      <c r="H100" s="103">
        <v>6.5</v>
      </c>
      <c r="I100" s="97" t="s">
        <v>331</v>
      </c>
      <c r="J100" s="105">
        <v>95</v>
      </c>
      <c r="K100" s="105">
        <v>92</v>
      </c>
      <c r="L100" s="105">
        <v>90</v>
      </c>
      <c r="M100" s="106">
        <v>13311</v>
      </c>
      <c r="N100" s="106">
        <v>680</v>
      </c>
      <c r="O100" s="106">
        <v>48045</v>
      </c>
      <c r="P100" s="100">
        <v>1172</v>
      </c>
      <c r="Q100" s="100">
        <v>731</v>
      </c>
      <c r="R100" s="100">
        <v>706</v>
      </c>
    </row>
    <row r="101" spans="1:18" ht="24" x14ac:dyDescent="0.25">
      <c r="A101" s="97" t="s">
        <v>97</v>
      </c>
      <c r="B101" s="97" t="s">
        <v>15</v>
      </c>
      <c r="C101" s="97" t="s">
        <v>147</v>
      </c>
      <c r="D101" s="97" t="s">
        <v>76</v>
      </c>
      <c r="E101" s="102">
        <v>41779</v>
      </c>
      <c r="F101" s="97" t="s">
        <v>50</v>
      </c>
      <c r="G101" s="97" t="s">
        <v>21</v>
      </c>
      <c r="H101" s="103">
        <v>12</v>
      </c>
      <c r="I101" s="97" t="s">
        <v>68</v>
      </c>
      <c r="J101" s="105">
        <v>89</v>
      </c>
      <c r="K101" s="105">
        <v>90</v>
      </c>
      <c r="L101" s="105">
        <v>90</v>
      </c>
      <c r="M101" s="106">
        <v>20049</v>
      </c>
      <c r="N101" s="106">
        <v>994</v>
      </c>
      <c r="O101" s="106">
        <v>9175</v>
      </c>
      <c r="P101" s="100">
        <v>816</v>
      </c>
      <c r="Q101" s="100">
        <v>1706</v>
      </c>
      <c r="R101" s="100">
        <v>497</v>
      </c>
    </row>
    <row r="102" spans="1:18" ht="24" x14ac:dyDescent="0.25">
      <c r="A102" s="97" t="s">
        <v>42</v>
      </c>
      <c r="B102" s="97" t="s">
        <v>17</v>
      </c>
      <c r="C102" s="97" t="s">
        <v>41</v>
      </c>
      <c r="D102" s="97" t="s">
        <v>22</v>
      </c>
      <c r="E102" s="102">
        <v>41754</v>
      </c>
      <c r="F102" s="97" t="s">
        <v>39</v>
      </c>
      <c r="G102" s="97" t="s">
        <v>21</v>
      </c>
      <c r="H102" s="103">
        <v>4</v>
      </c>
      <c r="I102" s="97" t="s">
        <v>68</v>
      </c>
      <c r="J102" s="105">
        <v>87</v>
      </c>
      <c r="K102" s="105">
        <v>86</v>
      </c>
      <c r="L102" s="105">
        <v>97</v>
      </c>
      <c r="M102" s="106">
        <v>802</v>
      </c>
      <c r="N102" s="106">
        <v>328</v>
      </c>
      <c r="O102" s="106">
        <v>975</v>
      </c>
      <c r="P102" s="100">
        <v>1095</v>
      </c>
      <c r="Q102" s="100">
        <v>880</v>
      </c>
      <c r="R102" s="100">
        <v>318</v>
      </c>
    </row>
    <row r="103" spans="1:18" x14ac:dyDescent="0.25">
      <c r="A103" s="97" t="s">
        <v>230</v>
      </c>
      <c r="B103" s="97" t="s">
        <v>15</v>
      </c>
      <c r="C103" s="97" t="s">
        <v>231</v>
      </c>
      <c r="D103" s="97" t="s">
        <v>232</v>
      </c>
      <c r="E103" s="102">
        <v>41705</v>
      </c>
      <c r="F103" s="97" t="s">
        <v>140</v>
      </c>
      <c r="G103" s="97" t="s">
        <v>233</v>
      </c>
      <c r="H103" s="103">
        <v>7</v>
      </c>
      <c r="I103" s="97" t="s">
        <v>68</v>
      </c>
      <c r="J103" s="105">
        <v>96</v>
      </c>
      <c r="K103" s="105" t="s">
        <v>27</v>
      </c>
      <c r="L103" s="105">
        <v>90</v>
      </c>
      <c r="M103" s="106">
        <v>24697</v>
      </c>
      <c r="N103" s="106" t="s">
        <v>27</v>
      </c>
      <c r="O103" s="106">
        <v>30168</v>
      </c>
      <c r="P103" s="100">
        <v>1151</v>
      </c>
      <c r="Q103" s="100" t="s">
        <v>27</v>
      </c>
      <c r="R103" s="100">
        <v>545</v>
      </c>
    </row>
    <row r="104" spans="1:18" x14ac:dyDescent="0.25">
      <c r="A104" s="97" t="s">
        <v>203</v>
      </c>
      <c r="B104" s="97" t="s">
        <v>15</v>
      </c>
      <c r="C104" s="97" t="s">
        <v>204</v>
      </c>
      <c r="D104" s="97" t="s">
        <v>34</v>
      </c>
      <c r="E104" s="102">
        <v>41600</v>
      </c>
      <c r="F104" s="97" t="s">
        <v>31</v>
      </c>
      <c r="G104" s="97" t="s">
        <v>35</v>
      </c>
      <c r="H104" s="103">
        <v>6.5</v>
      </c>
      <c r="I104" s="97" t="s">
        <v>68</v>
      </c>
      <c r="J104" s="105">
        <v>83</v>
      </c>
      <c r="K104" s="105">
        <v>82</v>
      </c>
      <c r="L104" s="105" t="s">
        <v>27</v>
      </c>
      <c r="M104" s="106">
        <v>13003</v>
      </c>
      <c r="N104" s="106">
        <v>1876</v>
      </c>
      <c r="O104" s="106" t="s">
        <v>27</v>
      </c>
      <c r="P104" s="100">
        <v>338</v>
      </c>
      <c r="Q104" s="100">
        <v>940</v>
      </c>
      <c r="R104" s="100" t="s">
        <v>27</v>
      </c>
    </row>
    <row r="105" spans="1:18" ht="24" x14ac:dyDescent="0.25">
      <c r="A105" s="97" t="s">
        <v>308</v>
      </c>
      <c r="B105" s="97" t="s">
        <v>15</v>
      </c>
      <c r="C105" s="97" t="s">
        <v>309</v>
      </c>
      <c r="D105" s="97" t="s">
        <v>166</v>
      </c>
      <c r="E105" s="102">
        <v>41593</v>
      </c>
      <c r="F105" s="97" t="s">
        <v>50</v>
      </c>
      <c r="G105" s="97" t="s">
        <v>28</v>
      </c>
      <c r="H105" s="103">
        <v>10</v>
      </c>
      <c r="I105" s="97" t="s">
        <v>68</v>
      </c>
      <c r="J105" s="105" t="s">
        <v>27</v>
      </c>
      <c r="K105" s="105" t="s">
        <v>27</v>
      </c>
      <c r="L105" s="105">
        <v>80</v>
      </c>
      <c r="M105" s="106" t="s">
        <v>27</v>
      </c>
      <c r="N105" s="106" t="s">
        <v>27</v>
      </c>
      <c r="O105" s="106">
        <v>12640</v>
      </c>
      <c r="P105" s="100" t="s">
        <v>27</v>
      </c>
      <c r="Q105" s="100" t="s">
        <v>27</v>
      </c>
      <c r="R105" s="100">
        <v>1517</v>
      </c>
    </row>
    <row r="106" spans="1:18" ht="24" x14ac:dyDescent="0.25">
      <c r="A106" s="97" t="s">
        <v>40</v>
      </c>
      <c r="B106" s="97" t="s">
        <v>17</v>
      </c>
      <c r="C106" s="97" t="s">
        <v>41</v>
      </c>
      <c r="D106" s="97" t="s">
        <v>22</v>
      </c>
      <c r="E106" s="102">
        <v>41590</v>
      </c>
      <c r="F106" s="97" t="s">
        <v>39</v>
      </c>
      <c r="G106" s="97" t="s">
        <v>21</v>
      </c>
      <c r="H106" s="103">
        <v>2.2999999999999998</v>
      </c>
      <c r="I106" s="97" t="s">
        <v>68</v>
      </c>
      <c r="J106" s="105">
        <v>80</v>
      </c>
      <c r="K106" s="105">
        <v>81</v>
      </c>
      <c r="L106" s="105">
        <v>98</v>
      </c>
      <c r="M106" s="106">
        <v>700</v>
      </c>
      <c r="N106" s="106">
        <v>184</v>
      </c>
      <c r="O106" s="106">
        <v>1348</v>
      </c>
      <c r="P106" s="100">
        <v>1439</v>
      </c>
      <c r="Q106" s="100">
        <v>319</v>
      </c>
      <c r="R106" s="100">
        <v>439</v>
      </c>
    </row>
    <row r="107" spans="1:18" ht="24" x14ac:dyDescent="0.25">
      <c r="A107" s="97" t="s">
        <v>116</v>
      </c>
      <c r="B107" s="97" t="s">
        <v>15</v>
      </c>
      <c r="C107" s="97" t="s">
        <v>113</v>
      </c>
      <c r="D107" s="97" t="s">
        <v>114</v>
      </c>
      <c r="E107" s="102">
        <v>41576</v>
      </c>
      <c r="F107" s="97" t="s">
        <v>57</v>
      </c>
      <c r="G107" s="97" t="s">
        <v>21</v>
      </c>
      <c r="H107" s="103">
        <v>23</v>
      </c>
      <c r="I107" s="97" t="s">
        <v>68</v>
      </c>
      <c r="J107" s="105">
        <v>87</v>
      </c>
      <c r="K107" s="105">
        <v>88</v>
      </c>
      <c r="L107" s="105">
        <v>90</v>
      </c>
      <c r="M107" s="106">
        <v>22716</v>
      </c>
      <c r="N107" s="106">
        <v>2000</v>
      </c>
      <c r="O107" s="106">
        <v>21091</v>
      </c>
      <c r="P107" s="100">
        <v>1695</v>
      </c>
      <c r="Q107" s="100">
        <v>1440</v>
      </c>
      <c r="R107" s="100">
        <v>1235</v>
      </c>
    </row>
    <row r="108" spans="1:18" ht="24" x14ac:dyDescent="0.25">
      <c r="A108" s="97" t="s">
        <v>160</v>
      </c>
      <c r="B108" s="97" t="s">
        <v>15</v>
      </c>
      <c r="C108" s="97" t="s">
        <v>161</v>
      </c>
      <c r="D108" s="97" t="s">
        <v>161</v>
      </c>
      <c r="E108" s="102">
        <v>41558</v>
      </c>
      <c r="F108" s="97" t="s">
        <v>67</v>
      </c>
      <c r="G108" s="97" t="s">
        <v>171</v>
      </c>
      <c r="H108" s="103">
        <v>8.5</v>
      </c>
      <c r="I108" s="97" t="s">
        <v>68</v>
      </c>
      <c r="J108" s="105">
        <v>97</v>
      </c>
      <c r="K108" s="105">
        <v>96</v>
      </c>
      <c r="L108" s="105">
        <v>100</v>
      </c>
      <c r="M108" s="106">
        <v>17276</v>
      </c>
      <c r="N108" s="106">
        <v>703</v>
      </c>
      <c r="O108" s="106">
        <v>7286</v>
      </c>
      <c r="P108" s="100">
        <v>328</v>
      </c>
      <c r="Q108" s="100">
        <v>1367</v>
      </c>
      <c r="R108" s="100">
        <v>1144</v>
      </c>
    </row>
    <row r="109" spans="1:18" ht="24" x14ac:dyDescent="0.25">
      <c r="A109" s="97" t="s">
        <v>348</v>
      </c>
      <c r="B109" s="97" t="s">
        <v>15</v>
      </c>
      <c r="C109" s="97" t="s">
        <v>349</v>
      </c>
      <c r="D109" s="97" t="s">
        <v>121</v>
      </c>
      <c r="E109" s="102">
        <v>41534</v>
      </c>
      <c r="F109" s="97" t="s">
        <v>57</v>
      </c>
      <c r="G109" s="97" t="s">
        <v>338</v>
      </c>
      <c r="H109" s="103">
        <v>32</v>
      </c>
      <c r="I109" s="97" t="s">
        <v>68</v>
      </c>
      <c r="J109" s="105">
        <v>69</v>
      </c>
      <c r="K109" s="105">
        <v>60</v>
      </c>
      <c r="L109" s="105">
        <v>90</v>
      </c>
      <c r="M109" s="106">
        <v>379093</v>
      </c>
      <c r="N109" s="106">
        <v>4579</v>
      </c>
      <c r="O109" s="106">
        <v>114958</v>
      </c>
      <c r="P109" s="100">
        <v>1417</v>
      </c>
      <c r="Q109" s="100">
        <v>896</v>
      </c>
      <c r="R109" s="100">
        <v>632</v>
      </c>
    </row>
    <row r="110" spans="1:18" ht="24" x14ac:dyDescent="0.25">
      <c r="A110" s="97" t="s">
        <v>183</v>
      </c>
      <c r="B110" s="97" t="s">
        <v>15</v>
      </c>
      <c r="C110" s="97" t="s">
        <v>184</v>
      </c>
      <c r="D110" s="97" t="s">
        <v>184</v>
      </c>
      <c r="E110" s="102">
        <v>41521</v>
      </c>
      <c r="F110" s="97" t="s">
        <v>185</v>
      </c>
      <c r="G110" s="97" t="s">
        <v>58</v>
      </c>
      <c r="H110" s="103">
        <v>5</v>
      </c>
      <c r="I110" s="97" t="s">
        <v>68</v>
      </c>
      <c r="J110" s="105">
        <v>96</v>
      </c>
      <c r="K110" s="105">
        <v>90</v>
      </c>
      <c r="L110" s="105">
        <v>94</v>
      </c>
      <c r="M110" s="106">
        <v>29097</v>
      </c>
      <c r="N110" s="106">
        <v>1316</v>
      </c>
      <c r="O110" s="106">
        <v>65557</v>
      </c>
      <c r="P110" s="100">
        <v>1593</v>
      </c>
      <c r="Q110" s="100">
        <v>1216</v>
      </c>
      <c r="R110" s="100">
        <v>500</v>
      </c>
    </row>
    <row r="111" spans="1:18" ht="24" x14ac:dyDescent="0.25">
      <c r="A111" s="97" t="s">
        <v>77</v>
      </c>
      <c r="B111" s="97" t="s">
        <v>17</v>
      </c>
      <c r="C111" s="97" t="s">
        <v>75</v>
      </c>
      <c r="D111" s="97" t="s">
        <v>76</v>
      </c>
      <c r="E111" s="102">
        <v>41499</v>
      </c>
      <c r="F111" s="97" t="s">
        <v>87</v>
      </c>
      <c r="G111" s="97" t="s">
        <v>21</v>
      </c>
      <c r="H111" s="103">
        <v>4</v>
      </c>
      <c r="I111" s="97" t="s">
        <v>68</v>
      </c>
      <c r="J111" s="105">
        <v>96</v>
      </c>
      <c r="K111" s="105">
        <v>92</v>
      </c>
      <c r="L111" s="105">
        <v>86</v>
      </c>
      <c r="M111" s="106">
        <v>33</v>
      </c>
      <c r="N111" s="106">
        <v>210</v>
      </c>
      <c r="O111" s="106">
        <v>523</v>
      </c>
      <c r="P111" s="100">
        <v>404</v>
      </c>
      <c r="Q111" s="100">
        <v>618</v>
      </c>
      <c r="R111" s="100">
        <v>592</v>
      </c>
    </row>
    <row r="112" spans="1:18" x14ac:dyDescent="0.25">
      <c r="A112" s="97" t="s">
        <v>150</v>
      </c>
      <c r="B112" s="97" t="s">
        <v>15</v>
      </c>
      <c r="C112" s="97" t="s">
        <v>151</v>
      </c>
      <c r="D112" s="97" t="s">
        <v>151</v>
      </c>
      <c r="E112" s="102">
        <v>41494</v>
      </c>
      <c r="F112" s="97" t="s">
        <v>228</v>
      </c>
      <c r="G112" s="97" t="s">
        <v>173</v>
      </c>
      <c r="H112" s="103">
        <v>5</v>
      </c>
      <c r="I112" s="97" t="s">
        <v>68</v>
      </c>
      <c r="J112" s="105">
        <v>95</v>
      </c>
      <c r="K112" s="105" t="s">
        <v>27</v>
      </c>
      <c r="L112" s="105" t="s">
        <v>27</v>
      </c>
      <c r="M112" s="106">
        <v>22288</v>
      </c>
      <c r="N112" s="106" t="s">
        <v>27</v>
      </c>
      <c r="O112" s="106" t="s">
        <v>27</v>
      </c>
      <c r="P112" s="100">
        <v>363</v>
      </c>
      <c r="Q112" s="100" t="s">
        <v>27</v>
      </c>
      <c r="R112" s="100" t="s">
        <v>27</v>
      </c>
    </row>
    <row r="113" spans="1:18" x14ac:dyDescent="0.25">
      <c r="A113" s="97" t="s">
        <v>290</v>
      </c>
      <c r="B113" s="97" t="s">
        <v>15</v>
      </c>
      <c r="C113" s="97" t="s">
        <v>291</v>
      </c>
      <c r="D113" s="97" t="s">
        <v>34</v>
      </c>
      <c r="E113" s="102">
        <v>41430</v>
      </c>
      <c r="F113" s="97" t="s">
        <v>185</v>
      </c>
      <c r="G113" s="97" t="s">
        <v>88</v>
      </c>
      <c r="H113" s="103">
        <v>16.5</v>
      </c>
      <c r="I113" s="97" t="s">
        <v>68</v>
      </c>
      <c r="J113" s="105">
        <v>75</v>
      </c>
      <c r="K113" s="105">
        <v>80</v>
      </c>
      <c r="L113" s="105" t="s">
        <v>27</v>
      </c>
      <c r="M113" s="106">
        <v>4123</v>
      </c>
      <c r="N113" s="106">
        <v>451</v>
      </c>
      <c r="O113" s="106" t="s">
        <v>27</v>
      </c>
      <c r="P113" s="100">
        <v>382</v>
      </c>
      <c r="Q113" s="100">
        <v>619</v>
      </c>
      <c r="R113" s="100" t="s">
        <v>27</v>
      </c>
    </row>
    <row r="114" spans="1:18" x14ac:dyDescent="0.25">
      <c r="A114" s="97" t="s">
        <v>247</v>
      </c>
      <c r="B114" s="97" t="s">
        <v>15</v>
      </c>
      <c r="C114" s="97" t="s">
        <v>248</v>
      </c>
      <c r="D114" s="97" t="s">
        <v>248</v>
      </c>
      <c r="E114" s="102">
        <v>41428</v>
      </c>
      <c r="F114" s="97" t="s">
        <v>249</v>
      </c>
      <c r="G114" s="97" t="s">
        <v>46</v>
      </c>
      <c r="H114" s="103">
        <v>3</v>
      </c>
      <c r="I114" s="97" t="s">
        <v>27</v>
      </c>
      <c r="J114" s="105">
        <v>97</v>
      </c>
      <c r="K114" s="105" t="s">
        <v>27</v>
      </c>
      <c r="L114" s="105" t="s">
        <v>27</v>
      </c>
      <c r="M114" s="106">
        <v>7894</v>
      </c>
      <c r="N114" s="106" t="s">
        <v>27</v>
      </c>
      <c r="O114" s="106" t="s">
        <v>27</v>
      </c>
      <c r="P114" s="100">
        <v>1762</v>
      </c>
      <c r="Q114" s="100" t="s">
        <v>27</v>
      </c>
      <c r="R114" s="100" t="s">
        <v>27</v>
      </c>
    </row>
    <row r="115" spans="1:18" ht="24" x14ac:dyDescent="0.25">
      <c r="A115" s="97" t="s">
        <v>236</v>
      </c>
      <c r="B115" s="97" t="s">
        <v>15</v>
      </c>
      <c r="C115" s="97" t="s">
        <v>237</v>
      </c>
      <c r="D115" s="97" t="s">
        <v>237</v>
      </c>
      <c r="E115" s="102">
        <v>41424</v>
      </c>
      <c r="F115" s="97" t="s">
        <v>238</v>
      </c>
      <c r="G115" s="97" t="s">
        <v>239</v>
      </c>
      <c r="H115" s="103">
        <v>5</v>
      </c>
      <c r="I115" s="97" t="s">
        <v>333</v>
      </c>
      <c r="J115" s="105">
        <v>95</v>
      </c>
      <c r="K115" s="105">
        <v>80</v>
      </c>
      <c r="L115" s="105">
        <v>90</v>
      </c>
      <c r="M115" s="106">
        <v>3601</v>
      </c>
      <c r="N115" s="106">
        <v>224</v>
      </c>
      <c r="O115" s="106">
        <v>6066</v>
      </c>
      <c r="P115" s="100">
        <v>1473</v>
      </c>
      <c r="Q115" s="100">
        <v>350</v>
      </c>
      <c r="R115" s="100">
        <v>1892</v>
      </c>
    </row>
    <row r="116" spans="1:18" ht="24" x14ac:dyDescent="0.25">
      <c r="A116" s="97" t="s">
        <v>141</v>
      </c>
      <c r="B116" s="97" t="s">
        <v>15</v>
      </c>
      <c r="C116" s="97" t="s">
        <v>130</v>
      </c>
      <c r="D116" s="97" t="s">
        <v>131</v>
      </c>
      <c r="E116" s="102">
        <v>41408</v>
      </c>
      <c r="F116" s="97" t="s">
        <v>50</v>
      </c>
      <c r="G116" s="97" t="s">
        <v>132</v>
      </c>
      <c r="H116" s="103">
        <v>10</v>
      </c>
      <c r="I116" s="97" t="s">
        <v>68</v>
      </c>
      <c r="J116" s="105">
        <v>93</v>
      </c>
      <c r="K116" s="105">
        <v>86</v>
      </c>
      <c r="L116" s="105">
        <v>92</v>
      </c>
      <c r="M116" s="106">
        <v>18280</v>
      </c>
      <c r="N116" s="106">
        <v>454</v>
      </c>
      <c r="O116" s="106">
        <v>4012</v>
      </c>
      <c r="P116" s="100">
        <v>1927</v>
      </c>
      <c r="Q116" s="100">
        <v>655</v>
      </c>
      <c r="R116" s="100">
        <v>1244</v>
      </c>
    </row>
    <row r="117" spans="1:18" ht="24" x14ac:dyDescent="0.25">
      <c r="A117" s="97" t="s">
        <v>194</v>
      </c>
      <c r="B117" s="97" t="s">
        <v>15</v>
      </c>
      <c r="C117" s="97" t="s">
        <v>195</v>
      </c>
      <c r="D117" s="97" t="s">
        <v>166</v>
      </c>
      <c r="E117" s="102">
        <v>41401</v>
      </c>
      <c r="F117" s="97" t="s">
        <v>196</v>
      </c>
      <c r="G117" s="97" t="s">
        <v>197</v>
      </c>
      <c r="H117" s="103">
        <v>15.5</v>
      </c>
      <c r="I117" s="97" t="s">
        <v>68</v>
      </c>
      <c r="J117" s="105" t="s">
        <v>27</v>
      </c>
      <c r="K117" s="105" t="s">
        <v>27</v>
      </c>
      <c r="L117" s="105">
        <v>100</v>
      </c>
      <c r="M117" s="106" t="s">
        <v>27</v>
      </c>
      <c r="N117" s="106" t="s">
        <v>27</v>
      </c>
      <c r="O117" s="106">
        <v>34336</v>
      </c>
      <c r="P117" s="100" t="s">
        <v>27</v>
      </c>
      <c r="Q117" s="100" t="s">
        <v>27</v>
      </c>
      <c r="R117" s="100">
        <v>1201</v>
      </c>
    </row>
    <row r="118" spans="1:18" ht="24" x14ac:dyDescent="0.25">
      <c r="A118" s="97" t="s">
        <v>38</v>
      </c>
      <c r="B118" s="97" t="s">
        <v>15</v>
      </c>
      <c r="C118" s="97" t="s">
        <v>41</v>
      </c>
      <c r="D118" s="97" t="s">
        <v>22</v>
      </c>
      <c r="E118" s="102">
        <v>41389</v>
      </c>
      <c r="F118" s="97" t="s">
        <v>39</v>
      </c>
      <c r="G118" s="97" t="s">
        <v>21</v>
      </c>
      <c r="H118" s="103">
        <v>12</v>
      </c>
      <c r="I118" s="97" t="s">
        <v>68</v>
      </c>
      <c r="J118" s="105">
        <v>95</v>
      </c>
      <c r="K118" s="105">
        <v>96</v>
      </c>
      <c r="L118" s="105">
        <v>90</v>
      </c>
      <c r="M118" s="106">
        <v>56095</v>
      </c>
      <c r="N118" s="106">
        <v>554</v>
      </c>
      <c r="O118" s="106">
        <v>9531</v>
      </c>
      <c r="P118" s="100">
        <v>1518</v>
      </c>
      <c r="Q118" s="100">
        <v>1906</v>
      </c>
      <c r="R118" s="100">
        <v>845</v>
      </c>
    </row>
    <row r="119" spans="1:18" ht="24" x14ac:dyDescent="0.25">
      <c r="A119" s="97" t="s">
        <v>78</v>
      </c>
      <c r="B119" s="97" t="s">
        <v>17</v>
      </c>
      <c r="C119" s="97" t="s">
        <v>75</v>
      </c>
      <c r="D119" s="97" t="s">
        <v>76</v>
      </c>
      <c r="E119" s="102">
        <v>41380</v>
      </c>
      <c r="F119" s="97" t="s">
        <v>87</v>
      </c>
      <c r="G119" s="97" t="s">
        <v>21</v>
      </c>
      <c r="H119" s="103">
        <v>4</v>
      </c>
      <c r="I119" s="97" t="s">
        <v>68</v>
      </c>
      <c r="J119" s="105">
        <v>96</v>
      </c>
      <c r="K119" s="105">
        <v>92</v>
      </c>
      <c r="L119" s="105">
        <v>88</v>
      </c>
      <c r="M119" s="106">
        <v>54</v>
      </c>
      <c r="N119" s="106">
        <v>223</v>
      </c>
      <c r="O119" s="106">
        <v>578</v>
      </c>
      <c r="P119" s="100">
        <v>1084</v>
      </c>
      <c r="Q119" s="100">
        <v>442</v>
      </c>
      <c r="R119" s="100">
        <v>880</v>
      </c>
    </row>
    <row r="120" spans="1:18" ht="24" x14ac:dyDescent="0.25">
      <c r="A120" s="97" t="s">
        <v>208</v>
      </c>
      <c r="B120" s="97" t="s">
        <v>17</v>
      </c>
      <c r="C120" s="97" t="s">
        <v>371</v>
      </c>
      <c r="D120" s="97" t="s">
        <v>29</v>
      </c>
      <c r="E120" s="102">
        <v>41376</v>
      </c>
      <c r="F120" s="97" t="s">
        <v>149</v>
      </c>
      <c r="G120" s="97" t="s">
        <v>21</v>
      </c>
      <c r="H120" s="103">
        <v>2</v>
      </c>
      <c r="I120" s="97" t="s">
        <v>68</v>
      </c>
      <c r="J120" s="105">
        <v>62</v>
      </c>
      <c r="K120" s="105">
        <v>87</v>
      </c>
      <c r="L120" s="105">
        <v>90</v>
      </c>
      <c r="M120" s="106">
        <v>32</v>
      </c>
      <c r="N120" s="106">
        <v>586</v>
      </c>
      <c r="O120" s="106">
        <v>331</v>
      </c>
      <c r="P120" s="100">
        <v>1291</v>
      </c>
      <c r="Q120" s="100">
        <v>1329</v>
      </c>
      <c r="R120" s="100">
        <v>947</v>
      </c>
    </row>
    <row r="121" spans="1:18" ht="24" x14ac:dyDescent="0.25">
      <c r="A121" s="97" t="s">
        <v>332</v>
      </c>
      <c r="B121" s="97" t="s">
        <v>15</v>
      </c>
      <c r="C121" s="97" t="s">
        <v>108</v>
      </c>
      <c r="D121" s="97" t="s">
        <v>29</v>
      </c>
      <c r="E121" s="102">
        <v>41369</v>
      </c>
      <c r="F121" s="97" t="s">
        <v>30</v>
      </c>
      <c r="G121" s="97" t="s">
        <v>21</v>
      </c>
      <c r="H121" s="103">
        <v>11.5</v>
      </c>
      <c r="I121" s="97" t="s">
        <v>68</v>
      </c>
      <c r="J121" s="105">
        <v>95</v>
      </c>
      <c r="K121" s="105">
        <v>92</v>
      </c>
      <c r="L121" s="105">
        <v>92</v>
      </c>
      <c r="M121" s="106">
        <v>70866</v>
      </c>
      <c r="N121" s="106">
        <v>2000</v>
      </c>
      <c r="O121" s="106">
        <v>28158</v>
      </c>
      <c r="P121" s="100">
        <v>1240</v>
      </c>
      <c r="Q121" s="100">
        <v>1893</v>
      </c>
      <c r="R121" s="100">
        <v>476</v>
      </c>
    </row>
    <row r="122" spans="1:18" x14ac:dyDescent="0.25">
      <c r="A122" s="97" t="s">
        <v>323</v>
      </c>
      <c r="B122" s="97" t="s">
        <v>17</v>
      </c>
      <c r="C122" s="97" t="s">
        <v>158</v>
      </c>
      <c r="D122" s="97" t="s">
        <v>34</v>
      </c>
      <c r="E122" s="102">
        <v>41261</v>
      </c>
      <c r="F122" s="97" t="s">
        <v>317</v>
      </c>
      <c r="G122" s="97" t="s">
        <v>284</v>
      </c>
      <c r="H122" s="103">
        <v>4.5</v>
      </c>
      <c r="I122" s="97" t="s">
        <v>331</v>
      </c>
      <c r="J122" s="105" t="s">
        <v>27</v>
      </c>
      <c r="K122" s="105">
        <v>76</v>
      </c>
      <c r="L122" s="105" t="s">
        <v>27</v>
      </c>
      <c r="M122" s="106" t="s">
        <v>27</v>
      </c>
      <c r="N122" s="106">
        <v>128</v>
      </c>
      <c r="O122" s="106" t="s">
        <v>27</v>
      </c>
      <c r="P122" s="100" t="s">
        <v>27</v>
      </c>
      <c r="Q122" s="100">
        <v>651</v>
      </c>
      <c r="R122" s="100" t="s">
        <v>27</v>
      </c>
    </row>
    <row r="123" spans="1:18" ht="24" x14ac:dyDescent="0.25">
      <c r="A123" s="97" t="s">
        <v>112</v>
      </c>
      <c r="B123" s="97" t="s">
        <v>15</v>
      </c>
      <c r="C123" s="97" t="s">
        <v>113</v>
      </c>
      <c r="D123" s="97" t="s">
        <v>114</v>
      </c>
      <c r="E123" s="102">
        <v>41242</v>
      </c>
      <c r="F123" s="97" t="s">
        <v>115</v>
      </c>
      <c r="G123" s="97" t="s">
        <v>21</v>
      </c>
      <c r="H123" s="103">
        <v>16.5</v>
      </c>
      <c r="I123" s="97" t="s">
        <v>68</v>
      </c>
      <c r="J123" s="105">
        <v>88</v>
      </c>
      <c r="K123" s="105">
        <v>82</v>
      </c>
      <c r="L123" s="105">
        <v>98</v>
      </c>
      <c r="M123" s="106">
        <v>44264</v>
      </c>
      <c r="N123" s="106">
        <v>204</v>
      </c>
      <c r="O123" s="106">
        <v>2056</v>
      </c>
      <c r="P123" s="100">
        <v>1655</v>
      </c>
      <c r="Q123" s="100">
        <v>933</v>
      </c>
      <c r="R123" s="100">
        <v>820</v>
      </c>
    </row>
    <row r="124" spans="1:18" x14ac:dyDescent="0.25">
      <c r="A124" s="97" t="s">
        <v>316</v>
      </c>
      <c r="B124" s="97" t="s">
        <v>15</v>
      </c>
      <c r="C124" s="97" t="s">
        <v>158</v>
      </c>
      <c r="D124" s="97" t="s">
        <v>34</v>
      </c>
      <c r="E124" s="102">
        <v>41205</v>
      </c>
      <c r="F124" s="97" t="s">
        <v>317</v>
      </c>
      <c r="G124" s="97" t="s">
        <v>284</v>
      </c>
      <c r="H124" s="103">
        <v>17</v>
      </c>
      <c r="I124" s="97" t="s">
        <v>331</v>
      </c>
      <c r="J124" s="105" t="s">
        <v>27</v>
      </c>
      <c r="K124" s="105">
        <v>80</v>
      </c>
      <c r="L124" s="105" t="s">
        <v>27</v>
      </c>
      <c r="M124" s="106" t="s">
        <v>27</v>
      </c>
      <c r="N124" s="106">
        <v>230</v>
      </c>
      <c r="O124" s="106" t="s">
        <v>27</v>
      </c>
      <c r="P124" s="100" t="s">
        <v>27</v>
      </c>
      <c r="Q124" s="100">
        <v>1137</v>
      </c>
      <c r="R124" s="100" t="s">
        <v>27</v>
      </c>
    </row>
    <row r="125" spans="1:18" ht="24" x14ac:dyDescent="0.25">
      <c r="A125" s="97" t="s">
        <v>329</v>
      </c>
      <c r="B125" s="97" t="s">
        <v>15</v>
      </c>
      <c r="C125" s="97" t="s">
        <v>44</v>
      </c>
      <c r="D125" s="97" t="s">
        <v>76</v>
      </c>
      <c r="E125" s="102">
        <v>41204</v>
      </c>
      <c r="F125" s="97" t="s">
        <v>330</v>
      </c>
      <c r="G125" s="97" t="s">
        <v>153</v>
      </c>
      <c r="H125" s="103">
        <v>28</v>
      </c>
      <c r="I125" s="97" t="s">
        <v>68</v>
      </c>
      <c r="J125" s="105">
        <v>85</v>
      </c>
      <c r="K125" s="105">
        <v>94</v>
      </c>
      <c r="L125" s="105" t="s">
        <v>27</v>
      </c>
      <c r="M125" s="106">
        <v>2842</v>
      </c>
      <c r="N125" s="106">
        <v>380</v>
      </c>
      <c r="O125" s="106" t="s">
        <v>27</v>
      </c>
      <c r="P125" s="100">
        <v>1618</v>
      </c>
      <c r="Q125" s="100">
        <v>1216</v>
      </c>
      <c r="R125" s="100" t="s">
        <v>27</v>
      </c>
    </row>
    <row r="126" spans="1:18" ht="24" x14ac:dyDescent="0.25">
      <c r="A126" s="97" t="s">
        <v>74</v>
      </c>
      <c r="B126" s="97" t="s">
        <v>15</v>
      </c>
      <c r="C126" s="97" t="s">
        <v>75</v>
      </c>
      <c r="D126" s="97" t="s">
        <v>76</v>
      </c>
      <c r="E126" s="102">
        <v>41194</v>
      </c>
      <c r="F126" s="97" t="s">
        <v>87</v>
      </c>
      <c r="G126" s="97" t="s">
        <v>21</v>
      </c>
      <c r="H126" s="103">
        <v>12.5</v>
      </c>
      <c r="I126" s="97" t="s">
        <v>68</v>
      </c>
      <c r="J126" s="105">
        <v>97</v>
      </c>
      <c r="K126" s="105">
        <v>92</v>
      </c>
      <c r="L126" s="105">
        <v>88</v>
      </c>
      <c r="M126" s="106">
        <v>2611</v>
      </c>
      <c r="N126" s="106">
        <v>466</v>
      </c>
      <c r="O126" s="106">
        <v>2324</v>
      </c>
      <c r="P126" s="100">
        <v>1142</v>
      </c>
      <c r="Q126" s="100">
        <v>668</v>
      </c>
      <c r="R126" s="100">
        <v>696</v>
      </c>
    </row>
    <row r="127" spans="1:18" ht="24" x14ac:dyDescent="0.25">
      <c r="A127" s="97" t="s">
        <v>327</v>
      </c>
      <c r="B127" s="97" t="s">
        <v>15</v>
      </c>
      <c r="C127" s="97" t="s">
        <v>377</v>
      </c>
      <c r="D127" s="97" t="s">
        <v>22</v>
      </c>
      <c r="E127" s="102">
        <v>41173</v>
      </c>
      <c r="F127" s="97" t="s">
        <v>328</v>
      </c>
      <c r="G127" s="97" t="s">
        <v>358</v>
      </c>
      <c r="H127" s="103">
        <v>31</v>
      </c>
      <c r="I127" s="97" t="s">
        <v>68</v>
      </c>
      <c r="J127" s="105">
        <v>96</v>
      </c>
      <c r="K127" s="105">
        <v>88</v>
      </c>
      <c r="L127" s="105" t="s">
        <v>27</v>
      </c>
      <c r="M127" s="106">
        <v>89865</v>
      </c>
      <c r="N127" s="106">
        <v>645</v>
      </c>
      <c r="O127" s="106" t="s">
        <v>27</v>
      </c>
      <c r="P127" s="100">
        <v>601</v>
      </c>
      <c r="Q127" s="100">
        <v>605</v>
      </c>
      <c r="R127" s="100" t="s">
        <v>27</v>
      </c>
    </row>
    <row r="128" spans="1:18" ht="24" x14ac:dyDescent="0.25">
      <c r="A128" s="97" t="s">
        <v>207</v>
      </c>
      <c r="B128" s="97" t="s">
        <v>15</v>
      </c>
      <c r="C128" s="97" t="s">
        <v>371</v>
      </c>
      <c r="D128" s="97" t="s">
        <v>29</v>
      </c>
      <c r="E128" s="102">
        <v>41138</v>
      </c>
      <c r="F128" s="97" t="s">
        <v>149</v>
      </c>
      <c r="G128" s="97" t="s">
        <v>21</v>
      </c>
      <c r="H128" s="103">
        <v>15.5</v>
      </c>
      <c r="I128" s="97" t="s">
        <v>68</v>
      </c>
      <c r="J128" s="105">
        <v>93</v>
      </c>
      <c r="K128" s="105">
        <v>88</v>
      </c>
      <c r="L128" s="105">
        <v>90</v>
      </c>
      <c r="M128" s="106">
        <v>13404</v>
      </c>
      <c r="N128" s="106">
        <v>607</v>
      </c>
      <c r="O128" s="106">
        <v>14043</v>
      </c>
      <c r="P128" s="100">
        <v>1993</v>
      </c>
      <c r="Q128" s="100">
        <v>1839</v>
      </c>
      <c r="R128" s="100">
        <v>1552</v>
      </c>
    </row>
    <row r="129" spans="1:18" ht="24" x14ac:dyDescent="0.25">
      <c r="A129" s="95" t="s">
        <v>450</v>
      </c>
      <c r="B129" s="95" t="s">
        <v>15</v>
      </c>
      <c r="C129" s="95" t="s">
        <v>448</v>
      </c>
      <c r="D129" s="95" t="s">
        <v>449</v>
      </c>
      <c r="E129" s="96">
        <v>41135</v>
      </c>
      <c r="F129" s="97" t="s">
        <v>31</v>
      </c>
      <c r="G129" s="97" t="s">
        <v>338</v>
      </c>
      <c r="H129" s="98">
        <v>29.5</v>
      </c>
      <c r="I129" s="95" t="s">
        <v>68</v>
      </c>
      <c r="J129" s="99">
        <v>74</v>
      </c>
      <c r="K129" s="99">
        <v>80</v>
      </c>
      <c r="L129" s="99">
        <v>82</v>
      </c>
      <c r="M129" s="100">
        <v>6066</v>
      </c>
      <c r="N129" s="100">
        <v>353</v>
      </c>
      <c r="O129" s="100">
        <v>856</v>
      </c>
      <c r="P129" s="100">
        <v>1200</v>
      </c>
      <c r="Q129" s="100">
        <v>200</v>
      </c>
      <c r="R129" s="100">
        <v>50</v>
      </c>
    </row>
    <row r="130" spans="1:18" x14ac:dyDescent="0.25">
      <c r="A130" s="97" t="s">
        <v>127</v>
      </c>
      <c r="B130" s="97" t="s">
        <v>15</v>
      </c>
      <c r="C130" s="97" t="s">
        <v>128</v>
      </c>
      <c r="D130" s="97" t="s">
        <v>22</v>
      </c>
      <c r="E130" s="102">
        <v>41089</v>
      </c>
      <c r="F130" s="97" t="s">
        <v>227</v>
      </c>
      <c r="G130" s="97" t="s">
        <v>73</v>
      </c>
      <c r="H130" s="103">
        <v>6</v>
      </c>
      <c r="I130" s="97" t="s">
        <v>68</v>
      </c>
      <c r="J130" s="105">
        <v>93</v>
      </c>
      <c r="K130" s="105">
        <v>94</v>
      </c>
      <c r="L130" s="105" t="s">
        <v>27</v>
      </c>
      <c r="M130" s="106">
        <v>17264</v>
      </c>
      <c r="N130" s="106">
        <v>106</v>
      </c>
      <c r="O130" s="106" t="s">
        <v>27</v>
      </c>
      <c r="P130" s="100">
        <v>1381</v>
      </c>
      <c r="Q130" s="100">
        <v>1004</v>
      </c>
      <c r="R130" s="100" t="s">
        <v>27</v>
      </c>
    </row>
    <row r="131" spans="1:18" ht="24" x14ac:dyDescent="0.25">
      <c r="A131" s="97" t="s">
        <v>285</v>
      </c>
      <c r="B131" s="97" t="s">
        <v>17</v>
      </c>
      <c r="C131" s="97" t="s">
        <v>283</v>
      </c>
      <c r="D131" s="97" t="s">
        <v>34</v>
      </c>
      <c r="E131" s="102">
        <v>40890</v>
      </c>
      <c r="F131" s="97" t="s">
        <v>31</v>
      </c>
      <c r="G131" s="97" t="s">
        <v>284</v>
      </c>
      <c r="H131" s="103">
        <v>3</v>
      </c>
      <c r="I131" s="97" t="s">
        <v>68</v>
      </c>
      <c r="J131" s="105" t="s">
        <v>27</v>
      </c>
      <c r="K131" s="105">
        <v>80</v>
      </c>
      <c r="L131" s="105" t="s">
        <v>27</v>
      </c>
      <c r="M131" s="106" t="s">
        <v>27</v>
      </c>
      <c r="N131" s="106">
        <v>83</v>
      </c>
      <c r="O131" s="106" t="s">
        <v>27</v>
      </c>
      <c r="P131" s="100" t="s">
        <v>27</v>
      </c>
      <c r="Q131" s="100">
        <v>1126</v>
      </c>
      <c r="R131" s="100" t="s">
        <v>27</v>
      </c>
    </row>
    <row r="132" spans="1:18" ht="24" x14ac:dyDescent="0.25">
      <c r="A132" s="97" t="s">
        <v>201</v>
      </c>
      <c r="B132" s="97" t="s">
        <v>15</v>
      </c>
      <c r="C132" s="97" t="s">
        <v>113</v>
      </c>
      <c r="D132" s="97" t="s">
        <v>114</v>
      </c>
      <c r="E132" s="102">
        <v>40862</v>
      </c>
      <c r="F132" s="97" t="s">
        <v>57</v>
      </c>
      <c r="G132" s="97" t="s">
        <v>73</v>
      </c>
      <c r="H132" s="103">
        <v>13</v>
      </c>
      <c r="I132" s="97" t="s">
        <v>68</v>
      </c>
      <c r="J132" s="105">
        <v>84</v>
      </c>
      <c r="K132" s="105">
        <v>80</v>
      </c>
      <c r="L132" s="105" t="s">
        <v>27</v>
      </c>
      <c r="M132" s="106">
        <v>5793</v>
      </c>
      <c r="N132" s="106">
        <v>201</v>
      </c>
      <c r="O132" s="106" t="s">
        <v>27</v>
      </c>
      <c r="P132" s="100">
        <v>1782</v>
      </c>
      <c r="Q132" s="100">
        <v>812</v>
      </c>
      <c r="R132" s="100" t="s">
        <v>27</v>
      </c>
    </row>
    <row r="133" spans="1:18" ht="24" x14ac:dyDescent="0.25">
      <c r="A133" s="97" t="s">
        <v>89</v>
      </c>
      <c r="B133" s="97" t="s">
        <v>15</v>
      </c>
      <c r="C133" s="97" t="s">
        <v>83</v>
      </c>
      <c r="D133" s="97" t="s">
        <v>76</v>
      </c>
      <c r="E133" s="102">
        <v>40858</v>
      </c>
      <c r="F133" s="97" t="s">
        <v>56</v>
      </c>
      <c r="G133" s="97" t="s">
        <v>126</v>
      </c>
      <c r="H133" s="103">
        <v>34.5</v>
      </c>
      <c r="I133" s="97" t="s">
        <v>68</v>
      </c>
      <c r="J133" s="105">
        <v>82</v>
      </c>
      <c r="K133" s="105">
        <v>88</v>
      </c>
      <c r="L133" s="105">
        <v>98</v>
      </c>
      <c r="M133" s="106">
        <v>12116</v>
      </c>
      <c r="N133" s="106">
        <v>1206</v>
      </c>
      <c r="O133" s="106">
        <v>11862</v>
      </c>
      <c r="P133" s="100">
        <v>1023</v>
      </c>
      <c r="Q133" s="100">
        <v>977</v>
      </c>
      <c r="R133" s="100">
        <v>1094</v>
      </c>
    </row>
    <row r="134" spans="1:18" ht="24" x14ac:dyDescent="0.25">
      <c r="A134" s="97" t="s">
        <v>213</v>
      </c>
      <c r="B134" s="97" t="s">
        <v>15</v>
      </c>
      <c r="C134" s="97" t="s">
        <v>214</v>
      </c>
      <c r="D134" s="97" t="s">
        <v>215</v>
      </c>
      <c r="E134" s="102">
        <v>40814</v>
      </c>
      <c r="F134" s="97" t="s">
        <v>100</v>
      </c>
      <c r="G134" s="97" t="s">
        <v>46</v>
      </c>
      <c r="H134" s="103">
        <v>11.5</v>
      </c>
      <c r="I134" s="97" t="s">
        <v>68</v>
      </c>
      <c r="J134" s="105">
        <v>95</v>
      </c>
      <c r="K134" s="105" t="s">
        <v>27</v>
      </c>
      <c r="L134" s="105" t="s">
        <v>27</v>
      </c>
      <c r="M134" s="106">
        <v>33125</v>
      </c>
      <c r="N134" s="106" t="s">
        <v>27</v>
      </c>
      <c r="O134" s="106" t="s">
        <v>27</v>
      </c>
      <c r="P134" s="100">
        <v>1576</v>
      </c>
      <c r="Q134" s="100" t="s">
        <v>27</v>
      </c>
      <c r="R134" s="100" t="s">
        <v>27</v>
      </c>
    </row>
    <row r="135" spans="1:18" x14ac:dyDescent="0.25">
      <c r="A135" s="97" t="s">
        <v>244</v>
      </c>
      <c r="B135" s="97" t="s">
        <v>15</v>
      </c>
      <c r="C135" s="97" t="s">
        <v>245</v>
      </c>
      <c r="D135" s="97" t="s">
        <v>372</v>
      </c>
      <c r="E135" s="102">
        <v>40808</v>
      </c>
      <c r="F135" s="97" t="s">
        <v>100</v>
      </c>
      <c r="G135" s="97" t="s">
        <v>73</v>
      </c>
      <c r="H135" s="103">
        <v>48</v>
      </c>
      <c r="I135" s="97" t="s">
        <v>68</v>
      </c>
      <c r="J135" s="105">
        <v>89</v>
      </c>
      <c r="K135" s="105">
        <v>90</v>
      </c>
      <c r="L135" s="105" t="s">
        <v>27</v>
      </c>
      <c r="M135" s="106">
        <v>48149</v>
      </c>
      <c r="N135" s="106">
        <v>368</v>
      </c>
      <c r="O135" s="106" t="s">
        <v>27</v>
      </c>
      <c r="P135" s="100">
        <v>386</v>
      </c>
      <c r="Q135" s="100">
        <v>733</v>
      </c>
      <c r="R135" s="100" t="s">
        <v>27</v>
      </c>
    </row>
    <row r="136" spans="1:18" x14ac:dyDescent="0.25">
      <c r="A136" s="97" t="s">
        <v>282</v>
      </c>
      <c r="B136" s="97" t="s">
        <v>15</v>
      </c>
      <c r="C136" s="97" t="s">
        <v>283</v>
      </c>
      <c r="D136" s="97" t="s">
        <v>34</v>
      </c>
      <c r="E136" s="102">
        <v>40808</v>
      </c>
      <c r="F136" s="97" t="s">
        <v>31</v>
      </c>
      <c r="G136" s="97" t="s">
        <v>284</v>
      </c>
      <c r="H136" s="103">
        <v>9.5</v>
      </c>
      <c r="I136" s="97" t="s">
        <v>68</v>
      </c>
      <c r="J136" s="105" t="s">
        <v>27</v>
      </c>
      <c r="K136" s="105">
        <v>88</v>
      </c>
      <c r="L136" s="105" t="s">
        <v>27</v>
      </c>
      <c r="M136" s="106" t="s">
        <v>27</v>
      </c>
      <c r="N136" s="106">
        <v>409</v>
      </c>
      <c r="O136" s="106" t="s">
        <v>27</v>
      </c>
      <c r="P136" s="100" t="s">
        <v>27</v>
      </c>
      <c r="Q136" s="100">
        <v>1730</v>
      </c>
      <c r="R136" s="100" t="s">
        <v>27</v>
      </c>
    </row>
    <row r="137" spans="1:18" ht="24" x14ac:dyDescent="0.25">
      <c r="A137" s="97" t="s">
        <v>211</v>
      </c>
      <c r="B137" s="97" t="s">
        <v>15</v>
      </c>
      <c r="C137" s="97" t="s">
        <v>212</v>
      </c>
      <c r="D137" s="97" t="s">
        <v>29</v>
      </c>
      <c r="E137" s="102">
        <v>40794</v>
      </c>
      <c r="F137" s="97" t="s">
        <v>225</v>
      </c>
      <c r="G137" s="97" t="s">
        <v>73</v>
      </c>
      <c r="H137" s="103">
        <v>22</v>
      </c>
      <c r="I137" s="97" t="s">
        <v>68</v>
      </c>
      <c r="J137" s="105">
        <v>91</v>
      </c>
      <c r="K137" s="105">
        <v>90</v>
      </c>
      <c r="L137" s="105" t="s">
        <v>27</v>
      </c>
      <c r="M137" s="106">
        <v>11074</v>
      </c>
      <c r="N137" s="106">
        <v>249</v>
      </c>
      <c r="O137" s="106" t="s">
        <v>27</v>
      </c>
      <c r="P137" s="100">
        <v>1932</v>
      </c>
      <c r="Q137" s="100">
        <v>661</v>
      </c>
      <c r="R137" s="100" t="s">
        <v>27</v>
      </c>
    </row>
    <row r="138" spans="1:18" ht="24" x14ac:dyDescent="0.25">
      <c r="A138" s="97" t="s">
        <v>125</v>
      </c>
      <c r="B138" s="97" t="s">
        <v>15</v>
      </c>
      <c r="C138" s="97" t="s">
        <v>121</v>
      </c>
      <c r="D138" s="97" t="s">
        <v>121</v>
      </c>
      <c r="E138" s="102">
        <v>40731</v>
      </c>
      <c r="F138" s="97" t="s">
        <v>31</v>
      </c>
      <c r="G138" s="97" t="s">
        <v>126</v>
      </c>
      <c r="H138" s="103">
        <v>21.5</v>
      </c>
      <c r="I138" s="97" t="s">
        <v>68</v>
      </c>
      <c r="J138" s="105">
        <v>85</v>
      </c>
      <c r="K138" s="105">
        <v>94</v>
      </c>
      <c r="L138" s="105">
        <v>90</v>
      </c>
      <c r="M138" s="106">
        <v>12806</v>
      </c>
      <c r="N138" s="106">
        <v>210</v>
      </c>
      <c r="O138" s="106">
        <v>483</v>
      </c>
      <c r="P138" s="100">
        <v>1801</v>
      </c>
      <c r="Q138" s="100">
        <v>1719</v>
      </c>
      <c r="R138" s="100">
        <v>1260</v>
      </c>
    </row>
    <row r="139" spans="1:18" x14ac:dyDescent="0.25">
      <c r="A139" s="95" t="s">
        <v>506</v>
      </c>
      <c r="B139" s="95" t="s">
        <v>15</v>
      </c>
      <c r="C139" s="95" t="s">
        <v>64</v>
      </c>
      <c r="D139" s="95" t="s">
        <v>64</v>
      </c>
      <c r="E139" s="96">
        <v>40710</v>
      </c>
      <c r="F139" s="97" t="s">
        <v>31</v>
      </c>
      <c r="G139" s="97" t="s">
        <v>403</v>
      </c>
      <c r="H139" s="98">
        <v>32</v>
      </c>
      <c r="I139" s="95" t="s">
        <v>331</v>
      </c>
      <c r="J139" s="99" t="s">
        <v>27</v>
      </c>
      <c r="K139" s="99" t="s">
        <v>27</v>
      </c>
      <c r="L139" s="99" t="s">
        <v>27</v>
      </c>
      <c r="M139" s="100" t="s">
        <v>27</v>
      </c>
      <c r="N139" s="100" t="s">
        <v>27</v>
      </c>
      <c r="O139" s="100" t="s">
        <v>27</v>
      </c>
      <c r="P139" s="100" t="s">
        <v>27</v>
      </c>
      <c r="Q139" s="100" t="s">
        <v>27</v>
      </c>
      <c r="R139" s="100" t="s">
        <v>27</v>
      </c>
    </row>
    <row r="140" spans="1:18" ht="24" x14ac:dyDescent="0.25">
      <c r="A140" s="97" t="s">
        <v>346</v>
      </c>
      <c r="B140" s="97" t="s">
        <v>15</v>
      </c>
      <c r="C140" s="97" t="s">
        <v>6</v>
      </c>
      <c r="D140" s="97" t="s">
        <v>6</v>
      </c>
      <c r="E140" s="102">
        <v>40680</v>
      </c>
      <c r="F140" s="97" t="s">
        <v>347</v>
      </c>
      <c r="G140" s="97" t="s">
        <v>88</v>
      </c>
      <c r="H140" s="103">
        <v>24</v>
      </c>
      <c r="I140" s="97" t="s">
        <v>68</v>
      </c>
      <c r="J140" s="105">
        <v>88</v>
      </c>
      <c r="K140" s="105">
        <v>88</v>
      </c>
      <c r="L140" s="105" t="s">
        <v>27</v>
      </c>
      <c r="M140" s="106">
        <v>33809</v>
      </c>
      <c r="N140" s="106">
        <v>269</v>
      </c>
      <c r="O140" s="106" t="s">
        <v>27</v>
      </c>
      <c r="P140" s="100">
        <v>1428</v>
      </c>
      <c r="Q140" s="100">
        <v>508</v>
      </c>
      <c r="R140" s="100" t="s">
        <v>27</v>
      </c>
    </row>
    <row r="141" spans="1:18" x14ac:dyDescent="0.25">
      <c r="A141" s="97" t="s">
        <v>341</v>
      </c>
      <c r="B141" s="97" t="s">
        <v>15</v>
      </c>
      <c r="C141" s="97" t="s">
        <v>258</v>
      </c>
      <c r="D141" s="97" t="s">
        <v>86</v>
      </c>
      <c r="E141" s="102">
        <v>40658</v>
      </c>
      <c r="F141" s="97" t="s">
        <v>50</v>
      </c>
      <c r="G141" s="97" t="s">
        <v>153</v>
      </c>
      <c r="H141" s="103">
        <v>9</v>
      </c>
      <c r="I141" s="97" t="s">
        <v>68</v>
      </c>
      <c r="J141" s="105">
        <v>83</v>
      </c>
      <c r="K141" s="105">
        <v>80</v>
      </c>
      <c r="L141" s="105" t="s">
        <v>27</v>
      </c>
      <c r="M141" s="106">
        <v>4795</v>
      </c>
      <c r="N141" s="106">
        <v>4</v>
      </c>
      <c r="O141" s="106" t="s">
        <v>27</v>
      </c>
      <c r="P141" s="100">
        <v>1308</v>
      </c>
      <c r="Q141" s="100">
        <v>1182</v>
      </c>
      <c r="R141" s="100" t="s">
        <v>27</v>
      </c>
    </row>
    <row r="142" spans="1:18" x14ac:dyDescent="0.25">
      <c r="A142" s="97" t="s">
        <v>70</v>
      </c>
      <c r="B142" s="97" t="s">
        <v>15</v>
      </c>
      <c r="C142" s="97" t="s">
        <v>71</v>
      </c>
      <c r="D142" s="97" t="s">
        <v>71</v>
      </c>
      <c r="E142" s="102">
        <v>40621</v>
      </c>
      <c r="F142" s="97" t="s">
        <v>72</v>
      </c>
      <c r="G142" s="97" t="s">
        <v>73</v>
      </c>
      <c r="H142" s="103">
        <v>9</v>
      </c>
      <c r="I142" s="97" t="s">
        <v>333</v>
      </c>
      <c r="J142" s="105">
        <v>98</v>
      </c>
      <c r="K142" s="105">
        <v>96</v>
      </c>
      <c r="L142" s="105" t="s">
        <v>27</v>
      </c>
      <c r="M142" s="106">
        <v>98794</v>
      </c>
      <c r="N142" s="106">
        <v>232</v>
      </c>
      <c r="O142" s="106" t="s">
        <v>27</v>
      </c>
      <c r="P142" s="100">
        <v>1865</v>
      </c>
      <c r="Q142" s="100">
        <v>1148</v>
      </c>
      <c r="R142" s="100" t="s">
        <v>27</v>
      </c>
    </row>
    <row r="143" spans="1:18" x14ac:dyDescent="0.25">
      <c r="A143" s="97" t="s">
        <v>162</v>
      </c>
      <c r="B143" s="97" t="s">
        <v>15</v>
      </c>
      <c r="C143" s="97" t="s">
        <v>163</v>
      </c>
      <c r="D143" s="97" t="s">
        <v>22</v>
      </c>
      <c r="E143" s="102">
        <v>40414</v>
      </c>
      <c r="F143" s="97" t="s">
        <v>31</v>
      </c>
      <c r="G143" s="97" t="s">
        <v>73</v>
      </c>
      <c r="H143" s="103">
        <v>12</v>
      </c>
      <c r="I143" s="97" t="s">
        <v>68</v>
      </c>
      <c r="J143" s="105">
        <v>93</v>
      </c>
      <c r="K143" s="105">
        <v>96</v>
      </c>
      <c r="L143" s="105" t="s">
        <v>27</v>
      </c>
      <c r="M143" s="106">
        <v>16061</v>
      </c>
      <c r="N143" s="106">
        <v>204</v>
      </c>
      <c r="O143" s="106" t="s">
        <v>27</v>
      </c>
      <c r="P143" s="100">
        <v>918</v>
      </c>
      <c r="Q143" s="100">
        <v>599</v>
      </c>
      <c r="R143" s="100" t="s">
        <v>27</v>
      </c>
    </row>
    <row r="144" spans="1:18" ht="24" x14ac:dyDescent="0.25">
      <c r="A144" s="97" t="s">
        <v>129</v>
      </c>
      <c r="B144" s="97" t="s">
        <v>15</v>
      </c>
      <c r="C144" s="97" t="s">
        <v>130</v>
      </c>
      <c r="D144" s="97" t="s">
        <v>131</v>
      </c>
      <c r="E144" s="102">
        <v>40343</v>
      </c>
      <c r="F144" s="97" t="s">
        <v>50</v>
      </c>
      <c r="G144" s="97" t="s">
        <v>132</v>
      </c>
      <c r="H144" s="103">
        <v>9</v>
      </c>
      <c r="I144" s="97" t="s">
        <v>68</v>
      </c>
      <c r="J144" s="105">
        <v>91</v>
      </c>
      <c r="K144" s="105">
        <v>86</v>
      </c>
      <c r="L144" s="105">
        <v>90</v>
      </c>
      <c r="M144" s="106">
        <v>22696</v>
      </c>
      <c r="N144" s="106">
        <v>445</v>
      </c>
      <c r="O144" s="106">
        <v>3942</v>
      </c>
      <c r="P144" s="100">
        <v>1060</v>
      </c>
      <c r="Q144" s="100">
        <v>406</v>
      </c>
      <c r="R144" s="100">
        <v>1839</v>
      </c>
    </row>
    <row r="145" spans="1:18" x14ac:dyDescent="0.25">
      <c r="A145" s="97" t="s">
        <v>120</v>
      </c>
      <c r="B145" s="97" t="s">
        <v>15</v>
      </c>
      <c r="C145" s="97" t="s">
        <v>369</v>
      </c>
      <c r="D145" s="97" t="s">
        <v>121</v>
      </c>
      <c r="E145" s="102">
        <v>40316</v>
      </c>
      <c r="F145" s="97" t="s">
        <v>57</v>
      </c>
      <c r="G145" s="97" t="s">
        <v>122</v>
      </c>
      <c r="H145" s="103">
        <v>18</v>
      </c>
      <c r="I145" s="97" t="s">
        <v>68</v>
      </c>
      <c r="J145" s="105" t="s">
        <v>27</v>
      </c>
      <c r="K145" s="105">
        <v>92</v>
      </c>
      <c r="L145" s="105" t="s">
        <v>27</v>
      </c>
      <c r="M145" s="106" t="s">
        <v>27</v>
      </c>
      <c r="N145" s="106">
        <v>767</v>
      </c>
      <c r="O145" s="106" t="s">
        <v>27</v>
      </c>
      <c r="P145" s="100" t="s">
        <v>27</v>
      </c>
      <c r="Q145" s="100">
        <v>1787</v>
      </c>
      <c r="R145" s="100" t="s">
        <v>27</v>
      </c>
    </row>
    <row r="146" spans="1:18" x14ac:dyDescent="0.25">
      <c r="A146" s="97" t="s">
        <v>101</v>
      </c>
      <c r="B146" s="97" t="s">
        <v>15</v>
      </c>
      <c r="C146" s="97" t="s">
        <v>102</v>
      </c>
      <c r="D146" s="97" t="s">
        <v>86</v>
      </c>
      <c r="E146" s="102">
        <v>40204</v>
      </c>
      <c r="F146" s="97" t="s">
        <v>100</v>
      </c>
      <c r="G146" s="97" t="s">
        <v>73</v>
      </c>
      <c r="H146" s="103">
        <v>25</v>
      </c>
      <c r="I146" s="97" t="s">
        <v>68</v>
      </c>
      <c r="J146" s="105">
        <v>95</v>
      </c>
      <c r="K146" s="105">
        <v>96</v>
      </c>
      <c r="L146" s="105" t="s">
        <v>27</v>
      </c>
      <c r="M146" s="106">
        <v>9355</v>
      </c>
      <c r="N146" s="106">
        <v>233</v>
      </c>
      <c r="O146" s="106" t="s">
        <v>27</v>
      </c>
      <c r="P146" s="100">
        <v>1706</v>
      </c>
      <c r="Q146" s="100">
        <v>1044</v>
      </c>
      <c r="R146" s="100" t="s">
        <v>27</v>
      </c>
    </row>
    <row r="147" spans="1:18" ht="24" x14ac:dyDescent="0.25">
      <c r="A147" s="95" t="s">
        <v>447</v>
      </c>
      <c r="B147" s="95" t="s">
        <v>15</v>
      </c>
      <c r="C147" s="95" t="s">
        <v>448</v>
      </c>
      <c r="D147" s="95" t="s">
        <v>449</v>
      </c>
      <c r="E147" s="96">
        <v>40183</v>
      </c>
      <c r="F147" s="97" t="s">
        <v>144</v>
      </c>
      <c r="G147" s="97" t="s">
        <v>338</v>
      </c>
      <c r="H147" s="98">
        <v>20.100000000000001</v>
      </c>
      <c r="I147" s="95" t="s">
        <v>68</v>
      </c>
      <c r="J147" s="99">
        <v>89</v>
      </c>
      <c r="K147" s="99">
        <v>75</v>
      </c>
      <c r="L147" s="99">
        <v>75</v>
      </c>
      <c r="M147" s="100">
        <v>6275</v>
      </c>
      <c r="N147" s="100">
        <v>218</v>
      </c>
      <c r="O147" s="100">
        <v>853</v>
      </c>
      <c r="P147" s="100">
        <v>153</v>
      </c>
      <c r="Q147" s="100">
        <v>75</v>
      </c>
      <c r="R147" s="100">
        <v>20</v>
      </c>
    </row>
    <row r="148" spans="1:18" x14ac:dyDescent="0.25">
      <c r="A148" s="97" t="s">
        <v>123</v>
      </c>
      <c r="B148" s="97" t="s">
        <v>15</v>
      </c>
      <c r="C148" s="97" t="s">
        <v>370</v>
      </c>
      <c r="D148" s="97" t="s">
        <v>71</v>
      </c>
      <c r="E148" s="102">
        <v>40137</v>
      </c>
      <c r="F148" s="97" t="s">
        <v>124</v>
      </c>
      <c r="G148" s="97" t="s">
        <v>88</v>
      </c>
      <c r="H148" s="103">
        <v>9.5</v>
      </c>
      <c r="I148" s="97" t="s">
        <v>68</v>
      </c>
      <c r="J148" s="105">
        <v>96</v>
      </c>
      <c r="K148" s="105">
        <v>94</v>
      </c>
      <c r="L148" s="105" t="s">
        <v>27</v>
      </c>
      <c r="M148" s="106">
        <v>145750</v>
      </c>
      <c r="N148" s="106">
        <v>589</v>
      </c>
      <c r="O148" s="106" t="s">
        <v>27</v>
      </c>
      <c r="P148" s="100">
        <v>1532</v>
      </c>
      <c r="Q148" s="100">
        <v>1923</v>
      </c>
      <c r="R148" s="100" t="s">
        <v>27</v>
      </c>
    </row>
    <row r="149" spans="1:18" x14ac:dyDescent="0.25">
      <c r="A149" s="97" t="s">
        <v>170</v>
      </c>
      <c r="B149" s="97" t="s">
        <v>15</v>
      </c>
      <c r="C149" s="97" t="s">
        <v>113</v>
      </c>
      <c r="D149" s="97" t="s">
        <v>114</v>
      </c>
      <c r="E149" s="102">
        <v>40134</v>
      </c>
      <c r="F149" s="97" t="s">
        <v>57</v>
      </c>
      <c r="G149" s="97" t="s">
        <v>73</v>
      </c>
      <c r="H149" s="103">
        <v>19</v>
      </c>
      <c r="I149" s="97" t="s">
        <v>68</v>
      </c>
      <c r="J149" s="105">
        <v>84</v>
      </c>
      <c r="K149" s="105">
        <v>94</v>
      </c>
      <c r="L149" s="105" t="s">
        <v>27</v>
      </c>
      <c r="M149" s="106">
        <v>14766</v>
      </c>
      <c r="N149" s="106">
        <v>290</v>
      </c>
      <c r="O149" s="106" t="s">
        <v>27</v>
      </c>
      <c r="P149" s="100">
        <v>1511</v>
      </c>
      <c r="Q149" s="100">
        <v>965</v>
      </c>
      <c r="R149" s="100" t="s">
        <v>27</v>
      </c>
    </row>
    <row r="150" spans="1:18" x14ac:dyDescent="0.25">
      <c r="A150" s="97" t="s">
        <v>299</v>
      </c>
      <c r="B150" s="97" t="s">
        <v>17</v>
      </c>
      <c r="C150" s="97" t="s">
        <v>283</v>
      </c>
      <c r="D150" s="97" t="s">
        <v>34</v>
      </c>
      <c r="E150" s="102">
        <v>40022</v>
      </c>
      <c r="F150" s="97" t="s">
        <v>31</v>
      </c>
      <c r="G150" s="97" t="s">
        <v>284</v>
      </c>
      <c r="H150" s="103">
        <v>0.5</v>
      </c>
      <c r="I150" s="97" t="s">
        <v>68</v>
      </c>
      <c r="J150" s="105" t="s">
        <v>27</v>
      </c>
      <c r="K150" s="105">
        <v>88</v>
      </c>
      <c r="L150" s="105" t="s">
        <v>27</v>
      </c>
      <c r="M150" s="106" t="s">
        <v>27</v>
      </c>
      <c r="N150" s="106">
        <v>139</v>
      </c>
      <c r="O150" s="106" t="s">
        <v>27</v>
      </c>
      <c r="P150" s="100" t="s">
        <v>27</v>
      </c>
      <c r="Q150" s="100">
        <v>344</v>
      </c>
      <c r="R150" s="100" t="s">
        <v>27</v>
      </c>
    </row>
    <row r="151" spans="1:18" ht="24" x14ac:dyDescent="0.25">
      <c r="A151" s="97" t="s">
        <v>272</v>
      </c>
      <c r="B151" s="97" t="s">
        <v>15</v>
      </c>
      <c r="C151" s="97" t="s">
        <v>273</v>
      </c>
      <c r="D151" s="97" t="s">
        <v>273</v>
      </c>
      <c r="E151" s="102">
        <v>39938</v>
      </c>
      <c r="F151" s="97" t="s">
        <v>275</v>
      </c>
      <c r="G151" s="97" t="s">
        <v>276</v>
      </c>
      <c r="H151" s="103">
        <v>8</v>
      </c>
      <c r="I151" s="97" t="s">
        <v>274</v>
      </c>
      <c r="J151" s="105">
        <v>97</v>
      </c>
      <c r="K151" s="105">
        <v>90</v>
      </c>
      <c r="L151" s="105" t="s">
        <v>27</v>
      </c>
      <c r="M151" s="106">
        <v>12130</v>
      </c>
      <c r="N151" s="106">
        <v>286</v>
      </c>
      <c r="O151" s="106" t="s">
        <v>27</v>
      </c>
      <c r="P151" s="100">
        <v>1932</v>
      </c>
      <c r="Q151" s="100">
        <v>370</v>
      </c>
      <c r="R151" s="100" t="s">
        <v>27</v>
      </c>
    </row>
    <row r="152" spans="1:18" x14ac:dyDescent="0.25">
      <c r="A152" s="97" t="s">
        <v>301</v>
      </c>
      <c r="B152" s="97" t="s">
        <v>15</v>
      </c>
      <c r="C152" s="97" t="s">
        <v>374</v>
      </c>
      <c r="D152" s="97" t="s">
        <v>34</v>
      </c>
      <c r="E152" s="102">
        <v>39906</v>
      </c>
      <c r="F152" s="97" t="s">
        <v>302</v>
      </c>
      <c r="G152" s="97" t="s">
        <v>88</v>
      </c>
      <c r="H152" s="103">
        <v>9</v>
      </c>
      <c r="I152" s="97" t="s">
        <v>331</v>
      </c>
      <c r="J152" s="105">
        <v>89</v>
      </c>
      <c r="K152" s="105">
        <v>74</v>
      </c>
      <c r="L152" s="105" t="s">
        <v>27</v>
      </c>
      <c r="M152" s="106">
        <v>2232</v>
      </c>
      <c r="N152" s="106">
        <v>850</v>
      </c>
      <c r="O152" s="106" t="s">
        <v>27</v>
      </c>
      <c r="P152" s="100">
        <v>1604</v>
      </c>
      <c r="Q152" s="100">
        <v>1400</v>
      </c>
      <c r="R152" s="100" t="s">
        <v>27</v>
      </c>
    </row>
    <row r="153" spans="1:18" x14ac:dyDescent="0.25">
      <c r="A153" s="97" t="s">
        <v>298</v>
      </c>
      <c r="B153" s="97" t="s">
        <v>15</v>
      </c>
      <c r="C153" s="97" t="s">
        <v>283</v>
      </c>
      <c r="D153" s="97" t="s">
        <v>34</v>
      </c>
      <c r="E153" s="102">
        <v>39759</v>
      </c>
      <c r="F153" s="97" t="s">
        <v>31</v>
      </c>
      <c r="G153" s="97" t="s">
        <v>284</v>
      </c>
      <c r="H153" s="103">
        <v>10</v>
      </c>
      <c r="I153" s="97" t="s">
        <v>68</v>
      </c>
      <c r="J153" s="105" t="s">
        <v>27</v>
      </c>
      <c r="K153" s="108">
        <v>0.88</v>
      </c>
      <c r="L153" s="105" t="s">
        <v>27</v>
      </c>
      <c r="M153" s="106" t="s">
        <v>27</v>
      </c>
      <c r="N153" s="106">
        <v>298</v>
      </c>
      <c r="O153" s="106" t="s">
        <v>27</v>
      </c>
      <c r="P153" s="100" t="s">
        <v>27</v>
      </c>
      <c r="Q153" s="100">
        <v>739</v>
      </c>
      <c r="R153" s="100" t="s">
        <v>27</v>
      </c>
    </row>
    <row r="154" spans="1:18" ht="24" x14ac:dyDescent="0.25">
      <c r="A154" s="97" t="s">
        <v>81</v>
      </c>
      <c r="B154" s="97" t="s">
        <v>15</v>
      </c>
      <c r="C154" s="97" t="s">
        <v>83</v>
      </c>
      <c r="D154" s="97" t="s">
        <v>76</v>
      </c>
      <c r="E154" s="102">
        <v>39719</v>
      </c>
      <c r="F154" s="97" t="s">
        <v>84</v>
      </c>
      <c r="G154" s="97" t="s">
        <v>73</v>
      </c>
      <c r="H154" s="103">
        <v>24.5</v>
      </c>
      <c r="I154" s="97" t="s">
        <v>68</v>
      </c>
      <c r="J154" s="105">
        <v>78</v>
      </c>
      <c r="K154" s="105">
        <v>90</v>
      </c>
      <c r="L154" s="105" t="s">
        <v>27</v>
      </c>
      <c r="M154" s="106">
        <v>10341</v>
      </c>
      <c r="N154" s="106">
        <v>683</v>
      </c>
      <c r="O154" s="106" t="s">
        <v>27</v>
      </c>
      <c r="P154" s="100">
        <v>895</v>
      </c>
      <c r="Q154" s="100">
        <v>403</v>
      </c>
      <c r="R154" s="100" t="s">
        <v>27</v>
      </c>
    </row>
    <row r="155" spans="1:18" ht="24" x14ac:dyDescent="0.25">
      <c r="A155" s="97" t="s">
        <v>98</v>
      </c>
      <c r="B155" s="97" t="s">
        <v>15</v>
      </c>
      <c r="C155" s="97" t="s">
        <v>102</v>
      </c>
      <c r="D155" s="97" t="s">
        <v>99</v>
      </c>
      <c r="E155" s="102">
        <v>39406</v>
      </c>
      <c r="F155" s="97" t="s">
        <v>100</v>
      </c>
      <c r="G155" s="97" t="s">
        <v>73</v>
      </c>
      <c r="H155" s="103">
        <v>18</v>
      </c>
      <c r="I155" s="97" t="s">
        <v>68</v>
      </c>
      <c r="J155" s="105">
        <v>94</v>
      </c>
      <c r="K155" s="105">
        <v>94</v>
      </c>
      <c r="L155" s="105" t="s">
        <v>27</v>
      </c>
      <c r="M155" s="106">
        <v>9474</v>
      </c>
      <c r="N155" s="106">
        <v>490</v>
      </c>
      <c r="O155" s="106" t="s">
        <v>27</v>
      </c>
      <c r="P155" s="100">
        <v>1665</v>
      </c>
      <c r="Q155" s="100">
        <v>1260</v>
      </c>
      <c r="R155" s="100" t="s">
        <v>27</v>
      </c>
    </row>
    <row r="156" spans="1:18" x14ac:dyDescent="0.25">
      <c r="A156" s="97" t="s">
        <v>152</v>
      </c>
      <c r="B156" s="97" t="s">
        <v>15</v>
      </c>
      <c r="C156" s="97" t="s">
        <v>113</v>
      </c>
      <c r="D156" s="97" t="s">
        <v>114</v>
      </c>
      <c r="E156" s="102">
        <v>39400</v>
      </c>
      <c r="F156" s="97" t="s">
        <v>31</v>
      </c>
      <c r="G156" s="97" t="s">
        <v>153</v>
      </c>
      <c r="H156" s="103">
        <v>15</v>
      </c>
      <c r="I156" s="97" t="s">
        <v>68</v>
      </c>
      <c r="J156" s="105">
        <v>82</v>
      </c>
      <c r="K156" s="105">
        <v>86</v>
      </c>
      <c r="L156" s="105" t="s">
        <v>27</v>
      </c>
      <c r="M156" s="106">
        <v>5800</v>
      </c>
      <c r="N156" s="106">
        <v>234</v>
      </c>
      <c r="O156" s="106" t="s">
        <v>27</v>
      </c>
      <c r="P156" s="100">
        <v>806</v>
      </c>
      <c r="Q156" s="100">
        <v>1859</v>
      </c>
      <c r="R156" s="100" t="s">
        <v>27</v>
      </c>
    </row>
    <row r="157" spans="1:18" x14ac:dyDescent="0.25">
      <c r="A157" s="97" t="s">
        <v>257</v>
      </c>
      <c r="B157" s="97" t="s">
        <v>15</v>
      </c>
      <c r="C157" s="97" t="s">
        <v>258</v>
      </c>
      <c r="D157" s="97" t="s">
        <v>86</v>
      </c>
      <c r="E157" s="102">
        <v>39399</v>
      </c>
      <c r="F157" s="97" t="s">
        <v>50</v>
      </c>
      <c r="G157" s="97" t="s">
        <v>73</v>
      </c>
      <c r="H157" s="103">
        <v>10.5</v>
      </c>
      <c r="I157" s="97" t="s">
        <v>68</v>
      </c>
      <c r="J157" s="105">
        <v>82</v>
      </c>
      <c r="K157" s="105">
        <v>92</v>
      </c>
      <c r="L157" s="105" t="s">
        <v>27</v>
      </c>
      <c r="M157" s="106">
        <v>6440</v>
      </c>
      <c r="N157" s="106">
        <v>20</v>
      </c>
      <c r="O157" s="106" t="s">
        <v>27</v>
      </c>
      <c r="P157" s="100">
        <v>588</v>
      </c>
      <c r="Q157" s="100">
        <v>1552</v>
      </c>
      <c r="R157" s="100" t="s">
        <v>27</v>
      </c>
    </row>
    <row r="158" spans="1:18" ht="24" x14ac:dyDescent="0.25">
      <c r="A158" s="97" t="s">
        <v>20</v>
      </c>
      <c r="B158" s="97" t="s">
        <v>15</v>
      </c>
      <c r="C158" s="97" t="s">
        <v>41</v>
      </c>
      <c r="D158" s="97" t="s">
        <v>22</v>
      </c>
      <c r="E158" s="102">
        <v>39315</v>
      </c>
      <c r="F158" s="97" t="s">
        <v>23</v>
      </c>
      <c r="G158" s="97" t="s">
        <v>21</v>
      </c>
      <c r="H158" s="103">
        <v>12.1</v>
      </c>
      <c r="I158" s="97" t="s">
        <v>68</v>
      </c>
      <c r="J158" s="105">
        <v>94</v>
      </c>
      <c r="K158" s="105">
        <v>96</v>
      </c>
      <c r="L158" s="105">
        <v>90</v>
      </c>
      <c r="M158" s="106">
        <v>15281</v>
      </c>
      <c r="N158" s="106">
        <v>227</v>
      </c>
      <c r="O158" s="107">
        <v>1480</v>
      </c>
      <c r="P158" s="100">
        <v>691</v>
      </c>
      <c r="Q158" s="100">
        <v>1870</v>
      </c>
      <c r="R158" s="100">
        <v>1613</v>
      </c>
    </row>
    <row r="159" spans="1:18" ht="24" x14ac:dyDescent="0.25">
      <c r="A159" s="97" t="s">
        <v>47</v>
      </c>
      <c r="B159" s="97" t="s">
        <v>15</v>
      </c>
      <c r="C159" s="97" t="s">
        <v>48</v>
      </c>
      <c r="D159" s="97" t="s">
        <v>49</v>
      </c>
      <c r="E159" s="102">
        <v>39192</v>
      </c>
      <c r="F159" s="97" t="s">
        <v>50</v>
      </c>
      <c r="G159" s="97" t="s">
        <v>46</v>
      </c>
      <c r="H159" s="103">
        <v>16.5</v>
      </c>
      <c r="I159" s="97" t="s">
        <v>68</v>
      </c>
      <c r="J159" s="105">
        <v>94</v>
      </c>
      <c r="K159" s="105" t="s">
        <v>27</v>
      </c>
      <c r="L159" s="105" t="s">
        <v>27</v>
      </c>
      <c r="M159" s="106">
        <v>8135</v>
      </c>
      <c r="N159" s="106" t="s">
        <v>27</v>
      </c>
      <c r="O159" s="106" t="s">
        <v>27</v>
      </c>
      <c r="P159" s="100">
        <v>1169</v>
      </c>
      <c r="Q159" s="100">
        <v>547</v>
      </c>
      <c r="R159" s="100">
        <v>1982</v>
      </c>
    </row>
    <row r="160" spans="1:18" x14ac:dyDescent="0.25">
      <c r="A160" s="97" t="s">
        <v>292</v>
      </c>
      <c r="B160" s="97" t="s">
        <v>15</v>
      </c>
      <c r="C160" s="97" t="s">
        <v>293</v>
      </c>
      <c r="D160" s="97" t="s">
        <v>34</v>
      </c>
      <c r="E160" s="102">
        <v>39123</v>
      </c>
      <c r="F160" s="97" t="s">
        <v>149</v>
      </c>
      <c r="G160" s="97" t="s">
        <v>284</v>
      </c>
      <c r="H160" s="103">
        <v>11</v>
      </c>
      <c r="I160" s="97" t="s">
        <v>68</v>
      </c>
      <c r="J160" s="105" t="s">
        <v>27</v>
      </c>
      <c r="K160" s="105">
        <v>92</v>
      </c>
      <c r="L160" s="105" t="s">
        <v>27</v>
      </c>
      <c r="M160" s="106" t="s">
        <v>27</v>
      </c>
      <c r="N160" s="106">
        <v>545</v>
      </c>
      <c r="O160" s="106" t="s">
        <v>27</v>
      </c>
      <c r="P160" s="100" t="s">
        <v>27</v>
      </c>
      <c r="Q160" s="100">
        <v>1040</v>
      </c>
      <c r="R160" s="100" t="s">
        <v>27</v>
      </c>
    </row>
    <row r="161" spans="1:18" x14ac:dyDescent="0.25">
      <c r="A161" s="97" t="s">
        <v>306</v>
      </c>
      <c r="B161" s="97" t="s">
        <v>15</v>
      </c>
      <c r="C161" s="97" t="s">
        <v>283</v>
      </c>
      <c r="D161" s="97" t="s">
        <v>34</v>
      </c>
      <c r="E161" s="102">
        <v>39028</v>
      </c>
      <c r="F161" s="97" t="s">
        <v>31</v>
      </c>
      <c r="G161" s="97" t="s">
        <v>284</v>
      </c>
      <c r="H161" s="103">
        <v>9</v>
      </c>
      <c r="I161" s="97" t="s">
        <v>68</v>
      </c>
      <c r="J161" s="105" t="s">
        <v>27</v>
      </c>
      <c r="K161" s="105">
        <v>90</v>
      </c>
      <c r="L161" s="105" t="s">
        <v>27</v>
      </c>
      <c r="M161" s="106" t="s">
        <v>27</v>
      </c>
      <c r="N161" s="106">
        <v>304</v>
      </c>
      <c r="O161" s="106" t="s">
        <v>27</v>
      </c>
      <c r="P161" s="100" t="s">
        <v>27</v>
      </c>
      <c r="Q161" s="100">
        <v>1452</v>
      </c>
      <c r="R161" s="100" t="s">
        <v>27</v>
      </c>
    </row>
    <row r="162" spans="1:18" ht="24" x14ac:dyDescent="0.25">
      <c r="A162" s="97" t="s">
        <v>110</v>
      </c>
      <c r="B162" s="97" t="s">
        <v>15</v>
      </c>
      <c r="C162" s="97" t="s">
        <v>71</v>
      </c>
      <c r="D162" s="97" t="s">
        <v>71</v>
      </c>
      <c r="E162" s="102">
        <v>38307</v>
      </c>
      <c r="F162" s="97" t="s">
        <v>50</v>
      </c>
      <c r="G162" s="97" t="s">
        <v>111</v>
      </c>
      <c r="H162" s="103">
        <v>13</v>
      </c>
      <c r="I162" s="97" t="s">
        <v>68</v>
      </c>
      <c r="J162" s="105">
        <v>96</v>
      </c>
      <c r="K162" s="105">
        <v>92</v>
      </c>
      <c r="L162" s="105" t="s">
        <v>27</v>
      </c>
      <c r="M162" s="106">
        <v>48150</v>
      </c>
      <c r="N162" s="106">
        <v>209</v>
      </c>
      <c r="O162" s="106" t="s">
        <v>27</v>
      </c>
      <c r="P162" s="100">
        <v>903</v>
      </c>
      <c r="Q162" s="100">
        <v>1673</v>
      </c>
      <c r="R162" s="100" t="s">
        <v>27</v>
      </c>
    </row>
    <row r="163" spans="1:18" x14ac:dyDescent="0.25">
      <c r="A163" s="97" t="s">
        <v>270</v>
      </c>
      <c r="B163" s="97" t="s">
        <v>15</v>
      </c>
      <c r="C163" s="97" t="s">
        <v>204</v>
      </c>
      <c r="D163" s="97" t="s">
        <v>114</v>
      </c>
      <c r="E163" s="102">
        <v>38100</v>
      </c>
      <c r="F163" s="97" t="s">
        <v>50</v>
      </c>
      <c r="G163" s="97" t="s">
        <v>271</v>
      </c>
      <c r="H163" s="103">
        <v>13.5</v>
      </c>
      <c r="I163" s="97" t="s">
        <v>68</v>
      </c>
      <c r="J163" s="105">
        <v>84</v>
      </c>
      <c r="K163" s="105" t="s">
        <v>27</v>
      </c>
      <c r="L163" s="105" t="s">
        <v>27</v>
      </c>
      <c r="M163" s="106">
        <v>3153</v>
      </c>
      <c r="N163" s="106" t="s">
        <v>27</v>
      </c>
      <c r="O163" s="106" t="s">
        <v>27</v>
      </c>
      <c r="P163" s="100">
        <v>1891</v>
      </c>
      <c r="Q163" s="100" t="s">
        <v>27</v>
      </c>
      <c r="R163" s="100" t="s">
        <v>27</v>
      </c>
    </row>
    <row r="164" spans="1:18" ht="24" x14ac:dyDescent="0.25">
      <c r="A164" s="97" t="s">
        <v>246</v>
      </c>
      <c r="B164" s="97" t="s">
        <v>15</v>
      </c>
      <c r="C164" s="97" t="s">
        <v>114</v>
      </c>
      <c r="D164" s="97" t="s">
        <v>114</v>
      </c>
      <c r="E164" s="102">
        <v>37939</v>
      </c>
      <c r="F164" s="97" t="s">
        <v>31</v>
      </c>
      <c r="G164" s="97" t="s">
        <v>111</v>
      </c>
      <c r="H164" s="103">
        <v>11</v>
      </c>
      <c r="I164" s="97" t="s">
        <v>331</v>
      </c>
      <c r="J164" s="105">
        <v>90</v>
      </c>
      <c r="K164" s="105">
        <v>86</v>
      </c>
      <c r="L164" s="105" t="s">
        <v>27</v>
      </c>
      <c r="M164" s="106">
        <v>1777</v>
      </c>
      <c r="N164" s="106">
        <v>214</v>
      </c>
      <c r="O164" s="106" t="s">
        <v>27</v>
      </c>
      <c r="P164" s="100">
        <v>724</v>
      </c>
      <c r="Q164" s="100">
        <v>1473</v>
      </c>
      <c r="R164" s="100" t="s">
        <v>27</v>
      </c>
    </row>
    <row r="165" spans="1:18" ht="24" x14ac:dyDescent="0.25">
      <c r="A165" s="97" t="s">
        <v>294</v>
      </c>
      <c r="B165" s="97" t="s">
        <v>15</v>
      </c>
      <c r="C165" s="97" t="s">
        <v>295</v>
      </c>
      <c r="D165" s="97" t="s">
        <v>296</v>
      </c>
      <c r="E165" s="102">
        <v>37496</v>
      </c>
      <c r="F165" s="97" t="s">
        <v>31</v>
      </c>
      <c r="G165" s="97" t="s">
        <v>355</v>
      </c>
      <c r="H165" s="103">
        <v>16</v>
      </c>
      <c r="I165" s="97" t="s">
        <v>68</v>
      </c>
      <c r="J165" s="105">
        <v>91</v>
      </c>
      <c r="K165" s="105" t="s">
        <v>27</v>
      </c>
      <c r="L165" s="105" t="s">
        <v>27</v>
      </c>
      <c r="M165" s="106">
        <v>1457</v>
      </c>
      <c r="N165" s="106" t="s">
        <v>27</v>
      </c>
      <c r="O165" s="106" t="s">
        <v>27</v>
      </c>
      <c r="P165" s="100">
        <v>416</v>
      </c>
      <c r="Q165" s="100" t="s">
        <v>27</v>
      </c>
      <c r="R165" s="100" t="s">
        <v>27</v>
      </c>
    </row>
    <row r="166" spans="1:18" ht="24" x14ac:dyDescent="0.25">
      <c r="A166" s="97" t="s">
        <v>312</v>
      </c>
      <c r="B166" s="97" t="s">
        <v>15</v>
      </c>
      <c r="C166" s="97" t="s">
        <v>375</v>
      </c>
      <c r="D166" s="97" t="s">
        <v>307</v>
      </c>
      <c r="E166" s="102">
        <v>37214</v>
      </c>
      <c r="F166" s="97" t="s">
        <v>50</v>
      </c>
      <c r="G166" s="97" t="s">
        <v>313</v>
      </c>
      <c r="H166" s="103">
        <v>8</v>
      </c>
      <c r="I166" s="97" t="s">
        <v>68</v>
      </c>
      <c r="J166" s="105">
        <v>91</v>
      </c>
      <c r="K166" s="105" t="s">
        <v>27</v>
      </c>
      <c r="L166" s="105" t="s">
        <v>27</v>
      </c>
      <c r="M166" s="106">
        <v>2763</v>
      </c>
      <c r="N166" s="106" t="s">
        <v>27</v>
      </c>
      <c r="O166" s="106" t="s">
        <v>27</v>
      </c>
      <c r="P166" s="100">
        <v>465</v>
      </c>
      <c r="Q166" s="100" t="s">
        <v>27</v>
      </c>
      <c r="R166" s="100" t="s">
        <v>27</v>
      </c>
    </row>
    <row r="167" spans="1:18" x14ac:dyDescent="0.25">
      <c r="A167" s="97" t="s">
        <v>303</v>
      </c>
      <c r="B167" s="97" t="s">
        <v>15</v>
      </c>
      <c r="C167" s="97" t="s">
        <v>304</v>
      </c>
      <c r="D167" s="97" t="s">
        <v>64</v>
      </c>
      <c r="E167" s="102">
        <v>35976</v>
      </c>
      <c r="F167" s="97" t="s">
        <v>305</v>
      </c>
      <c r="G167" s="97" t="s">
        <v>284</v>
      </c>
      <c r="H167" s="103">
        <v>11</v>
      </c>
      <c r="I167" s="97" t="s">
        <v>274</v>
      </c>
      <c r="J167" s="105" t="s">
        <v>27</v>
      </c>
      <c r="K167" s="105">
        <v>88</v>
      </c>
      <c r="L167" s="105" t="s">
        <v>27</v>
      </c>
      <c r="M167" s="106" t="s">
        <v>27</v>
      </c>
      <c r="N167" s="106">
        <v>247</v>
      </c>
      <c r="O167" s="106" t="s">
        <v>27</v>
      </c>
      <c r="P167" s="100" t="s">
        <v>27</v>
      </c>
      <c r="Q167" s="100">
        <v>1204</v>
      </c>
      <c r="R167" s="100" t="s">
        <v>27</v>
      </c>
    </row>
    <row r="168" spans="1:18" x14ac:dyDescent="0.25">
      <c r="A168" s="54"/>
      <c r="B168" s="54"/>
      <c r="C168" s="54"/>
      <c r="D168" s="54"/>
      <c r="E168" s="55"/>
      <c r="F168" s="56"/>
      <c r="G168" s="56"/>
      <c r="H168" s="57"/>
      <c r="I168" s="54"/>
      <c r="J168" s="54"/>
      <c r="K168" s="54"/>
      <c r="L168" s="54"/>
      <c r="M168" s="54"/>
      <c r="N168" s="54"/>
      <c r="O168" s="54"/>
      <c r="P168" s="54"/>
      <c r="Q168" s="54"/>
      <c r="R168" s="54"/>
    </row>
  </sheetData>
  <sheetProtection algorithmName="SHA-512" hashValue="nAw29aIx7SjDnjnceMZz77eoe+HwwfcK0tIoPhiZ6/EfHMRd28RKy4NefEOojOy3VRo7Kt2yoMfmPdv5j+BxYA==" saltValue="YlwqanKP8YgIgCl/h4wl6A==" spinCount="100000" sheet="1" objects="1" scenarios="1" formatCells="0" insertRows="0" sort="0" autoFilter="0"/>
  <protectedRanges>
    <protectedRange sqref="F5 H4 H6 H8 O4:Q4" name="Data"/>
  </protectedRanges>
  <sortState xmlns:xlrd2="http://schemas.microsoft.com/office/spreadsheetml/2017/richdata2" ref="A14:S164">
    <sortCondition descending="1" ref="E14:E164"/>
  </sortState>
  <mergeCells count="2">
    <mergeCell ref="A12:R12"/>
    <mergeCell ref="O4:Q4"/>
  </mergeCells>
  <dataValidations count="5">
    <dataValidation type="date" operator="greaterThan" allowBlank="1" showInputMessage="1" showErrorMessage="1" errorTitle="Chyba v datumu vydání" error="Zadané datum vydání hry nesplňuje předepsané podmínky, tedy buď se nejedná o datum nebo datum je mimo povolený rozsah." promptTitle="Filtrování datumu vydání" prompt="Zadejte datum vydání hry, od kterého chcete filtrovat (min. 1.1.1900)." sqref="F5" xr:uid="{856EE012-2BA7-4CB8-B3DA-89EA994590C2}">
      <formula1>1</formula1>
    </dataValidation>
    <dataValidation type="decimal" allowBlank="1" showInputMessage="1" showErrorMessage="1" errorTitle="Chyba v hodnocení uživatelů (PC)" error="Zadaná hodnota neodpovídá očekávanému formátu, tedy hodnota není v požadovaném rozmezí nebo není číslo." promptTitle="Hodnocení uživatelů (PC)" prompt="Zadejte hodnocení uživatelů v rozmezí 0 až 100." sqref="H4" xr:uid="{AFAFE178-706F-4EC9-BDE5-BFEB29C7C3BC}">
      <formula1>0</formula1>
      <formula2>100</formula2>
    </dataValidation>
    <dataValidation type="decimal" allowBlank="1" showInputMessage="1" showErrorMessage="1" errorTitle="Chyba v hodnocení uživatelů (X1)" error="Zadaná hodnota neodpovídá očekávanému formátu, tedy hodnota není v požadovaném rozmezí nebo není číslo." promptTitle="Hodnocení uživatelů (X1)" prompt="Zadejte hodnocení uživatelů v rozmezí 0 až 100." sqref="H6" xr:uid="{DF799C41-0FBB-4D39-A721-48563FFA663E}">
      <formula1>0</formula1>
      <formula2>100</formula2>
    </dataValidation>
    <dataValidation type="decimal" allowBlank="1" showInputMessage="1" showErrorMessage="1" errorTitle="Chyba v hodnocení (PS4)" error="Zadaná hodnota neodpovídá očekávanému formátu, tedy hodnota není v požadovaném rozmezí nebo není číslo." promptTitle="Hodnocení uživatelů (PS4)" prompt="Zadejte hodnocení uživatelů v rozmezí 0 až 100." sqref="H8" xr:uid="{A4C8EFA4-15F3-4885-A044-EA648BD509E6}">
      <formula1>0</formula1>
      <formula2>100</formula2>
    </dataValidation>
    <dataValidation allowBlank="1" showInputMessage="1" showErrorMessage="1" promptTitle="Název hry" prompt="Zadejte název hry, pro kterou chcete najít počet kusů, přičemž se vyhledá první záznam, jež odpovídá zadané hodnotě." sqref="O4" xr:uid="{BFA4F1B4-3C36-4523-BF15-2DF551C16399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0</xdr:col>
                    <xdr:colOff>647700</xdr:colOff>
                    <xdr:row>2</xdr:row>
                    <xdr:rowOff>180975</xdr:rowOff>
                  </from>
                  <to>
                    <xdr:col>1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0</xdr:col>
                    <xdr:colOff>647700</xdr:colOff>
                    <xdr:row>3</xdr:row>
                    <xdr:rowOff>142875</xdr:rowOff>
                  </from>
                  <to>
                    <xdr:col>1</xdr:col>
                    <xdr:colOff>371475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0</xdr:col>
                    <xdr:colOff>647700</xdr:colOff>
                    <xdr:row>4</xdr:row>
                    <xdr:rowOff>104775</xdr:rowOff>
                  </from>
                  <to>
                    <xdr:col>1</xdr:col>
                    <xdr:colOff>371475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0</xdr:col>
                    <xdr:colOff>647700</xdr:colOff>
                    <xdr:row>5</xdr:row>
                    <xdr:rowOff>66675</xdr:rowOff>
                  </from>
                  <to>
                    <xdr:col>1</xdr:col>
                    <xdr:colOff>371475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0</xdr:col>
                    <xdr:colOff>647700</xdr:colOff>
                    <xdr:row>6</xdr:row>
                    <xdr:rowOff>28575</xdr:rowOff>
                  </from>
                  <to>
                    <xdr:col>1</xdr:col>
                    <xdr:colOff>371475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0</xdr:col>
                    <xdr:colOff>647700</xdr:colOff>
                    <xdr:row>6</xdr:row>
                    <xdr:rowOff>180975</xdr:rowOff>
                  </from>
                  <to>
                    <xdr:col>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0</xdr:col>
                    <xdr:colOff>647700</xdr:colOff>
                    <xdr:row>7</xdr:row>
                    <xdr:rowOff>142875</xdr:rowOff>
                  </from>
                  <to>
                    <xdr:col>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Check Box 8">
              <controlPr defaultSize="0" autoFill="0" autoLine="0" autoPict="0">
                <anchor moveWithCells="1">
                  <from>
                    <xdr:col>1</xdr:col>
                    <xdr:colOff>323850</xdr:colOff>
                    <xdr:row>2</xdr:row>
                    <xdr:rowOff>180975</xdr:rowOff>
                  </from>
                  <to>
                    <xdr:col>2</xdr:col>
                    <xdr:colOff>952500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1</xdr:col>
                    <xdr:colOff>323850</xdr:colOff>
                    <xdr:row>3</xdr:row>
                    <xdr:rowOff>142875</xdr:rowOff>
                  </from>
                  <to>
                    <xdr:col>2</xdr:col>
                    <xdr:colOff>952500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323850</xdr:colOff>
                    <xdr:row>4</xdr:row>
                    <xdr:rowOff>104775</xdr:rowOff>
                  </from>
                  <to>
                    <xdr:col>2</xdr:col>
                    <xdr:colOff>952500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Check Box 11">
              <controlPr defaultSize="0" autoFill="0" autoLine="0" autoPict="0">
                <anchor moveWithCells="1">
                  <from>
                    <xdr:col>1</xdr:col>
                    <xdr:colOff>323850</xdr:colOff>
                    <xdr:row>5</xdr:row>
                    <xdr:rowOff>66675</xdr:rowOff>
                  </from>
                  <to>
                    <xdr:col>2</xdr:col>
                    <xdr:colOff>952500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Check Box 12">
              <controlPr defaultSize="0" autoFill="0" autoLine="0" autoPict="0">
                <anchor moveWithCells="1">
                  <from>
                    <xdr:col>1</xdr:col>
                    <xdr:colOff>323850</xdr:colOff>
                    <xdr:row>6</xdr:row>
                    <xdr:rowOff>28575</xdr:rowOff>
                  </from>
                  <to>
                    <xdr:col>2</xdr:col>
                    <xdr:colOff>952500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Check Box 13">
              <controlPr defaultSize="0" autoFill="0" autoLine="0" autoPict="0">
                <anchor moveWithCells="1">
                  <from>
                    <xdr:col>1</xdr:col>
                    <xdr:colOff>323850</xdr:colOff>
                    <xdr:row>6</xdr:row>
                    <xdr:rowOff>180975</xdr:rowOff>
                  </from>
                  <to>
                    <xdr:col>2</xdr:col>
                    <xdr:colOff>952500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Check Box 14">
              <controlPr defaultSize="0" autoFill="0" autoLine="0" autoPict="0">
                <anchor moveWithCells="1">
                  <from>
                    <xdr:col>1</xdr:col>
                    <xdr:colOff>323850</xdr:colOff>
                    <xdr:row>7</xdr:row>
                    <xdr:rowOff>142875</xdr:rowOff>
                  </from>
                  <to>
                    <xdr:col>2</xdr:col>
                    <xdr:colOff>952500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Check Box 15">
              <controlPr defaultSize="0" autoFill="0" autoLine="0" autoPict="0">
                <anchor moveWithCells="1">
                  <from>
                    <xdr:col>3</xdr:col>
                    <xdr:colOff>142875</xdr:colOff>
                    <xdr:row>2</xdr:row>
                    <xdr:rowOff>180975</xdr:rowOff>
                  </from>
                  <to>
                    <xdr:col>3</xdr:col>
                    <xdr:colOff>1266825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Check Box 16">
              <controlPr defaultSize="0" autoFill="0" autoLine="0" autoPict="0">
                <anchor moveWithCells="1">
                  <from>
                    <xdr:col>3</xdr:col>
                    <xdr:colOff>142875</xdr:colOff>
                    <xdr:row>3</xdr:row>
                    <xdr:rowOff>142875</xdr:rowOff>
                  </from>
                  <to>
                    <xdr:col>3</xdr:col>
                    <xdr:colOff>1266825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Check Box 17">
              <controlPr defaultSize="0" autoFill="0" autoLine="0" autoPict="0">
                <anchor moveWithCells="1">
                  <from>
                    <xdr:col>3</xdr:col>
                    <xdr:colOff>142875</xdr:colOff>
                    <xdr:row>4</xdr:row>
                    <xdr:rowOff>104775</xdr:rowOff>
                  </from>
                  <to>
                    <xdr:col>3</xdr:col>
                    <xdr:colOff>1266825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Check Box 18">
              <controlPr defaultSize="0" autoFill="0" autoLine="0" autoPict="0">
                <anchor moveWithCells="1">
                  <from>
                    <xdr:col>3</xdr:col>
                    <xdr:colOff>142875</xdr:colOff>
                    <xdr:row>5</xdr:row>
                    <xdr:rowOff>66675</xdr:rowOff>
                  </from>
                  <to>
                    <xdr:col>3</xdr:col>
                    <xdr:colOff>1266825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1" name="Check Box 19">
              <controlPr defaultSize="0" autoFill="0" autoLine="0" autoPict="0">
                <anchor moveWithCells="1">
                  <from>
                    <xdr:col>3</xdr:col>
                    <xdr:colOff>142875</xdr:colOff>
                    <xdr:row>6</xdr:row>
                    <xdr:rowOff>28575</xdr:rowOff>
                  </from>
                  <to>
                    <xdr:col>3</xdr:col>
                    <xdr:colOff>1266825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2" name="Check Box 21">
              <controlPr defaultSize="0" autoFill="0" autoLine="0" autoPict="0">
                <anchor moveWithCells="1">
                  <from>
                    <xdr:col>3</xdr:col>
                    <xdr:colOff>1285875</xdr:colOff>
                    <xdr:row>2</xdr:row>
                    <xdr:rowOff>171450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3" name="Check Box 22">
              <controlPr defaultSize="0" autoFill="0" autoLine="0" autoPict="0">
                <anchor moveWithCells="1">
                  <from>
                    <xdr:col>3</xdr:col>
                    <xdr:colOff>1285875</xdr:colOff>
                    <xdr:row>3</xdr:row>
                    <xdr:rowOff>133350</xdr:rowOff>
                  </from>
                  <to>
                    <xdr:col>5</xdr:col>
                    <xdr:colOff>514350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4" name="Check Box 23">
              <controlPr defaultSize="0" autoFill="0" autoLine="0" autoPict="0">
                <anchor moveWithCells="1">
                  <from>
                    <xdr:col>3</xdr:col>
                    <xdr:colOff>1285875</xdr:colOff>
                    <xdr:row>4</xdr:row>
                    <xdr:rowOff>95250</xdr:rowOff>
                  </from>
                  <to>
                    <xdr:col>5</xdr:col>
                    <xdr:colOff>514350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5" name="Check Box 24">
              <controlPr defaultSize="0" autoFill="0" autoLine="0" autoPict="0">
                <anchor moveWithCells="1">
                  <from>
                    <xdr:col>3</xdr:col>
                    <xdr:colOff>1285875</xdr:colOff>
                    <xdr:row>5</xdr:row>
                    <xdr:rowOff>57150</xdr:rowOff>
                  </from>
                  <to>
                    <xdr:col>5</xdr:col>
                    <xdr:colOff>514350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6" name="Drop Down 28">
              <controlPr defaultSize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5</xdr:col>
                    <xdr:colOff>1724025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7" name="Group Box 29">
              <controlPr defaultSize="0" autoFill="0" autoPict="0">
                <anchor moveWithCells="1">
                  <from>
                    <xdr:col>0</xdr:col>
                    <xdr:colOff>104775</xdr:colOff>
                    <xdr:row>2</xdr:row>
                    <xdr:rowOff>66675</xdr:rowOff>
                  </from>
                  <to>
                    <xdr:col>6</xdr:col>
                    <xdr:colOff>295275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8" name="Button 30">
              <controlPr defaultSize="0" print="0" autoFill="0" autoPict="0" macro="[0]!FiltrovaniDat">
                <anchor moveWithCells="1" sizeWithCells="1">
                  <from>
                    <xdr:col>5</xdr:col>
                    <xdr:colOff>0</xdr:colOff>
                    <xdr:row>9</xdr:row>
                    <xdr:rowOff>38100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9" name="Button 32">
              <controlPr defaultSize="0" print="0" autoFill="0" autoPict="0" macro="[0]!VycistitNastaveniFiltru">
                <anchor moveWithCells="1" sizeWithCells="1">
                  <from>
                    <xdr:col>2</xdr:col>
                    <xdr:colOff>9525</xdr:colOff>
                    <xdr:row>9</xdr:row>
                    <xdr:rowOff>38100</xdr:rowOff>
                  </from>
                  <to>
                    <xdr:col>3</xdr:col>
                    <xdr:colOff>219075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0" name="Button 33">
              <controlPr defaultSize="0" print="0" autoFill="0" autoPict="0" macro="[0]!ResetFiltrovani">
                <anchor moveWithCells="1" sizeWithCells="1">
                  <from>
                    <xdr:col>3</xdr:col>
                    <xdr:colOff>428625</xdr:colOff>
                    <xdr:row>9</xdr:row>
                    <xdr:rowOff>38100</xdr:rowOff>
                  </from>
                  <to>
                    <xdr:col>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1" name="Button 37">
              <controlPr defaultSize="0" print="0" autoFill="0" autoPict="0" macro="[0]!PodmineneFormatovani">
                <anchor moveWithCells="1" sizeWithCells="1">
                  <from>
                    <xdr:col>9</xdr:col>
                    <xdr:colOff>9525</xdr:colOff>
                    <xdr:row>9</xdr:row>
                    <xdr:rowOff>38100</xdr:rowOff>
                  </from>
                  <to>
                    <xdr:col>11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2" name="Group Box 38">
              <controlPr defaultSize="0" autoFill="0" autoPict="0">
                <anchor moveWithCells="1">
                  <from>
                    <xdr:col>6</xdr:col>
                    <xdr:colOff>447675</xdr:colOff>
                    <xdr:row>2</xdr:row>
                    <xdr:rowOff>66675</xdr:rowOff>
                  </from>
                  <to>
                    <xdr:col>12</xdr:col>
                    <xdr:colOff>142875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3" name="Button 39">
              <controlPr defaultSize="0" print="0" autoFill="0" autoPict="0" macro="[0]!SmazaniPodminenehoFormatovani">
                <anchor moveWithCells="1" sizeWithCells="1">
                  <from>
                    <xdr:col>6</xdr:col>
                    <xdr:colOff>609600</xdr:colOff>
                    <xdr:row>9</xdr:row>
                    <xdr:rowOff>38100</xdr:rowOff>
                  </from>
                  <to>
                    <xdr:col>8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SoucetPoctuKusu">
                <anchor moveWithCells="1" sizeWithCells="1">
                  <from>
                    <xdr:col>14</xdr:col>
                    <xdr:colOff>600075</xdr:colOff>
                    <xdr:row>9</xdr:row>
                    <xdr:rowOff>38100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Group Box 42">
              <controlPr defaultSize="0" autoFill="0" autoPict="0">
                <anchor moveWithCells="1">
                  <from>
                    <xdr:col>12</xdr:col>
                    <xdr:colOff>314325</xdr:colOff>
                    <xdr:row>2</xdr:row>
                    <xdr:rowOff>66675</xdr:rowOff>
                  </from>
                  <to>
                    <xdr:col>17</xdr:col>
                    <xdr:colOff>209550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FormatovaniOblasti">
                <anchor moveWithCells="1" sizeWithCells="1">
                  <from>
                    <xdr:col>19</xdr:col>
                    <xdr:colOff>0</xdr:colOff>
                    <xdr:row>9</xdr:row>
                    <xdr:rowOff>38100</xdr:rowOff>
                  </from>
                  <to>
                    <xdr:col>20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Drop Down 44">
              <controlPr defaultSize="0" autoLine="0" autoPict="0" macro="[0]!FormatovaniUkazkoveOblasti">
                <anchor mov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Group Box 45">
              <controlPr defaultSize="0" autoFill="0" autoPict="0">
                <anchor moveWithCells="1">
                  <from>
                    <xdr:col>17</xdr:col>
                    <xdr:colOff>409575</xdr:colOff>
                    <xdr:row>2</xdr:row>
                    <xdr:rowOff>66675</xdr:rowOff>
                  </from>
                  <to>
                    <xdr:col>21</xdr:col>
                    <xdr:colOff>209550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VymazaniVypoctu">
                <anchor moveWithCells="1" sizeWithCells="1">
                  <from>
                    <xdr:col>12</xdr:col>
                    <xdr:colOff>495300</xdr:colOff>
                    <xdr:row>9</xdr:row>
                    <xdr:rowOff>38100</xdr:rowOff>
                  </from>
                  <to>
                    <xdr:col>14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Scroll Bar 47">
              <controlPr defaultSiz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800100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CF575-D429-4EE3-B41C-86DFC793D8F5}">
  <sheetPr codeName="List7"/>
  <dimension ref="A1:X179"/>
  <sheetViews>
    <sheetView tabSelected="1" topLeftCell="C1" workbookViewId="0">
      <pane ySplit="18" topLeftCell="A19" activePane="bottomLeft" state="frozen"/>
      <selection pane="bottomLeft" activeCell="R1" sqref="R1:X1048576"/>
    </sheetView>
  </sheetViews>
  <sheetFormatPr defaultRowHeight="15" x14ac:dyDescent="0.25"/>
  <cols>
    <col min="1" max="1" width="21.7109375" style="1" customWidth="1"/>
    <col min="2" max="5" width="17.140625" style="1" customWidth="1"/>
    <col min="6" max="6" width="17.42578125" style="1" customWidth="1"/>
    <col min="7" max="17" width="9.140625" style="1"/>
    <col min="18" max="18" width="10.140625" style="1" hidden="1" customWidth="1"/>
    <col min="19" max="21" width="16.28515625" style="1" hidden="1" customWidth="1"/>
    <col min="22" max="24" width="9.140625" style="1" hidden="1" customWidth="1"/>
    <col min="25" max="16384" width="9.140625" style="1"/>
  </cols>
  <sheetData>
    <row r="1" ht="21.75" customHeight="1" x14ac:dyDescent="0.25"/>
    <row r="2" ht="21.75" customHeight="1" x14ac:dyDescent="0.25"/>
    <row r="3" ht="21.75" customHeight="1" x14ac:dyDescent="0.25"/>
    <row r="4" ht="21.75" customHeight="1" x14ac:dyDescent="0.25"/>
    <row r="5" ht="21.7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spans="1:24" ht="15" customHeight="1" x14ac:dyDescent="0.25"/>
    <row r="18" spans="1:24" ht="25.5" x14ac:dyDescent="0.25">
      <c r="A18" s="58" t="s">
        <v>0</v>
      </c>
      <c r="B18" s="58" t="s">
        <v>458</v>
      </c>
      <c r="C18" s="58" t="s">
        <v>459</v>
      </c>
      <c r="D18" s="58" t="s">
        <v>460</v>
      </c>
      <c r="E18" s="58" t="s">
        <v>461</v>
      </c>
      <c r="F18" s="59" t="s">
        <v>462</v>
      </c>
    </row>
    <row r="19" spans="1:24" x14ac:dyDescent="0.25">
      <c r="A19" s="48" t="s">
        <v>452</v>
      </c>
      <c r="B19" s="51">
        <f>AVERAGEIFS(Data!$H$14:$H$167,Data!$C$14:$C$167,A19,Data!$B$14:$B$167,"Hra")</f>
        <v>31.5</v>
      </c>
      <c r="C19" s="51">
        <f>IF(ISERR(AVERAGEIFS(Data!$H$14:$H$167,Data!$C$14:$C$167,A19,Data!$B$14:$B$167,"Rozšíření")),0,AVERAGEIFS(Data!$H$14:$H$167,Data!$C$14:$C$167,A19,Data!$B$14:$B$167,"Rozšíření"))</f>
        <v>0</v>
      </c>
      <c r="D19" s="52" t="str">
        <f>IF(ISERR(AVERAGE(S19:U19)),"-",AVERAGE(S19:U19))</f>
        <v>-</v>
      </c>
      <c r="E19" s="52" t="str">
        <f>IF(ISERR(AVERAGE(V19:X19)),"-",AVERAGE(V19:X19))</f>
        <v>-</v>
      </c>
      <c r="F19" s="60" t="str">
        <f ca="1">DATEDIF(R19,TODAY(),"y")&amp;" "&amp;IF(DATEDIF(R19,TODAY(),"y")=0,"let",IF(DATEDIF(R19,TODAY(),"y")=1,"rok",IF(DATEDIF(R19,TODAY(),"y")&gt;=5,"let","roky")))</f>
        <v>0 let</v>
      </c>
      <c r="R19" s="23">
        <f>HLOOKUP("Datum vydání",Data!$A$13:$R$167,MATCH(A19,Data!$C$14:$C$167,0)+1,)</f>
        <v>43441</v>
      </c>
      <c r="S19" s="1" t="str">
        <f>IF(ISERR(AVERAGEIFS(Data!$J$14:$J$167,Data!$C$14:$C$167,Výpočty!A19,Data!$B$14:$B$167,"Hra")),"",AVERAGEIFS(Data!$J$14:$J$167,Data!$C$14:$C$167,Výpočty!A19,Data!$B$14:$B$167,"Hra"))</f>
        <v/>
      </c>
      <c r="T19" s="1" t="str">
        <f>IF(ISERR(AVERAGEIFS(Data!$K$14:$K$167,Data!$C$14:$C$167,Výpočty!A19,Data!$B$14:$B$167,"Hra")),"",AVERAGEIFS(Data!$K$14:$K$167,Data!$C$14:$C$167,Výpočty!A19,Data!$B$14:$B$167,"Hra"))</f>
        <v/>
      </c>
      <c r="U19" s="1" t="str">
        <f>IF(ISERR(AVERAGEIFS(Data!$L$14:$L$167,Data!$C$14:$C$167,Výpočty!A19,Data!$B$14:$B$167,"Hra")),"",AVERAGEIFS(Data!$L$14:$L$167,Data!$C$14:$C$167,Výpočty!A19,Data!$B$14:$B$167,"Hra"))</f>
        <v/>
      </c>
      <c r="V19" s="1" t="str">
        <f>IF(ISERR(AVERAGEIFS(Data!$J$14:$J$167,Data!$C$14:$C$167,Výpočty!A19,Data!$B$14:$B$167,"Rozšíření")),"",AVERAGEIFS(Data!$J$14:$J$167,Data!$C$14:$C$167,Výpočty!A19,Data!$B$14:$B$167,"Rozšíření"))</f>
        <v/>
      </c>
      <c r="W19" s="1" t="str">
        <f>IF(ISERR(AVERAGEIFS(Data!$K$14:$K$167,Data!$C$14:$C$167,Výpočty!A19,Data!$B$14:$B$167,"Rozšíření")),"",AVERAGEIFS(Data!$K$14:$K$167,Data!$C$14:$C$167,Výpočty!A19,Data!$B$14:$B$167,"Rozšíření"))</f>
        <v/>
      </c>
      <c r="X19" s="1" t="str">
        <f>IF(ISERR(AVERAGEIFS(Data!$L$14:$L$167,Data!$C$14:$C$167,Výpočty!A19,Data!$B$14:$B$167,"Rozšíření")),"",AVERAGEIFS(Data!$L$14:$L$167,Data!$C$14:$C$167,Výpočty!A19,Data!$B$14:$B$167,"Rozšíření"))</f>
        <v/>
      </c>
    </row>
    <row r="20" spans="1:24" x14ac:dyDescent="0.25">
      <c r="A20" s="50" t="s">
        <v>54</v>
      </c>
      <c r="B20" s="51">
        <f>AVERAGEIFS(Data!$H$14:$H$167,Data!$C$14:$C$167,A20,Data!$B$14:$B$167,"Hra")</f>
        <v>41.1</v>
      </c>
      <c r="C20" s="51">
        <f>IF(ISERR(AVERAGEIFS(Data!$H$14:$H$167,Data!$C$14:$C$167,A20,Data!$B$14:$B$167,"Rozšíření")),0,AVERAGEIFS(Data!$H$14:$H$167,Data!$C$14:$C$167,A20,Data!$B$14:$B$167,"Rozšíření"))</f>
        <v>0</v>
      </c>
      <c r="D20" s="52">
        <f t="shared" ref="D20:D83" si="0">IF(ISERR(AVERAGE(S20:U20)),"-",AVERAGE(S20:U20))</f>
        <v>87</v>
      </c>
      <c r="E20" s="52" t="str">
        <f t="shared" ref="E20:E83" si="1">IF(ISERR(AVERAGE(V20:X20)),"-",AVERAGE(V20:X20))</f>
        <v>-</v>
      </c>
      <c r="F20" s="60" t="str">
        <f t="shared" ref="F20:F83" ca="1" si="2">DATEDIF(R20,TODAY(),"y")&amp;" "&amp;IF(DATEDIF(R20,TODAY(),"y")=0,"let",IF(DATEDIF(R20,TODAY(),"y")=1,"rok",IF(DATEDIF(R20,TODAY(),"y")&gt;=5,"let","roky")))</f>
        <v>0 let</v>
      </c>
      <c r="R20" s="23">
        <f>HLOOKUP("Datum vydání",Data!$A$13:$R$167,MATCH(A20,Data!$C$14:$C$167,0)+1,)</f>
        <v>43399</v>
      </c>
      <c r="S20" s="1" t="str">
        <f>IF(ISERR(AVERAGEIFS(Data!$J$14:$J$167,Data!$C$14:$C$167,Výpočty!A20,Data!$B$14:$B$167,"Hra")),"",AVERAGEIFS(Data!$J$14:$J$167,Data!$C$14:$C$167,Výpočty!A20,Data!$B$14:$B$167,"Hra"))</f>
        <v/>
      </c>
      <c r="T20" s="1">
        <f>IF(ISERR(AVERAGEIFS(Data!$K$14:$K$167,Data!$C$14:$C$167,Výpočty!A20,Data!$B$14:$B$167,"Hra")),"",AVERAGEIFS(Data!$K$14:$K$167,Data!$C$14:$C$167,Výpočty!A20,Data!$B$14:$B$167,"Hra"))</f>
        <v>86</v>
      </c>
      <c r="U20" s="1">
        <f>IF(ISERR(AVERAGEIFS(Data!$L$14:$L$167,Data!$C$14:$C$167,Výpočty!A20,Data!$B$14:$B$167,"Hra")),"",AVERAGEIFS(Data!$L$14:$L$167,Data!$C$14:$C$167,Výpočty!A20,Data!$B$14:$B$167,"Hra"))</f>
        <v>88</v>
      </c>
      <c r="V20" s="1" t="str">
        <f>IF(ISERR(AVERAGEIFS(Data!$J$14:$J$167,Data!$C$14:$C$167,Výpočty!A20,Data!$B$14:$B$167,"Rozšíření")),"",AVERAGEIFS(Data!$J$14:$J$167,Data!$C$14:$C$167,Výpočty!A20,Data!$B$14:$B$167,"Rozšíření"))</f>
        <v/>
      </c>
      <c r="W20" s="1" t="str">
        <f>IF(ISERR(AVERAGEIFS(Data!$K$14:$K$167,Data!$C$14:$C$167,Výpočty!A20,Data!$B$14:$B$167,"Rozšíření")),"",AVERAGEIFS(Data!$K$14:$K$167,Data!$C$14:$C$167,Výpočty!A20,Data!$B$14:$B$167,"Rozšíření"))</f>
        <v/>
      </c>
      <c r="X20" s="1" t="str">
        <f>IF(ISERR(AVERAGEIFS(Data!$L$14:$L$167,Data!$C$14:$C$167,Výpočty!A20,Data!$B$14:$B$167,"Rozšíření")),"",AVERAGEIFS(Data!$L$14:$L$167,Data!$C$14:$C$167,Výpočty!A20,Data!$B$14:$B$167,"Rozšíření"))</f>
        <v/>
      </c>
    </row>
    <row r="21" spans="1:24" x14ac:dyDescent="0.25">
      <c r="A21" s="50" t="s">
        <v>6</v>
      </c>
      <c r="B21" s="51">
        <f>AVERAGEIFS(Data!$H$14:$H$167,Data!$C$14:$C$167,A21,Data!$B$14:$B$167,"Hra")</f>
        <v>35</v>
      </c>
      <c r="C21" s="51">
        <f>IF(ISERR(AVERAGEIFS(Data!$H$14:$H$167,Data!$C$14:$C$167,A21,Data!$B$14:$B$167,"Rozšíření")),0,AVERAGEIFS(Data!$H$14:$H$167,Data!$C$14:$C$167,A21,Data!$B$14:$B$167,"Rozšíření"))</f>
        <v>13.15</v>
      </c>
      <c r="D21" s="52">
        <f t="shared" si="0"/>
        <v>94.666666666666671</v>
      </c>
      <c r="E21" s="52">
        <f t="shared" si="1"/>
        <v>98</v>
      </c>
      <c r="F21" s="60" t="str">
        <f t="shared" ca="1" si="2"/>
        <v>0 let</v>
      </c>
      <c r="R21" s="23">
        <f>HLOOKUP("Datum vydání",Data!$A$13:$R$167,MATCH(A21,Data!$C$14:$C$167,0)+1,)</f>
        <v>43396</v>
      </c>
      <c r="S21" s="1">
        <f>IF(ISERR(AVERAGEIFS(Data!$J$14:$J$167,Data!$C$14:$C$167,Výpočty!A21,Data!$B$14:$B$167,"Hra")),"",AVERAGEIFS(Data!$J$14:$J$167,Data!$C$14:$C$167,Výpočty!A21,Data!$B$14:$B$167,"Hra"))</f>
        <v>92</v>
      </c>
      <c r="T21" s="1">
        <f>IF(ISERR(AVERAGEIFS(Data!$K$14:$K$167,Data!$C$14:$C$167,Výpočty!A21,Data!$B$14:$B$167,"Hra")),"",AVERAGEIFS(Data!$K$14:$K$167,Data!$C$14:$C$167,Výpočty!A21,Data!$B$14:$B$167,"Hra"))</f>
        <v>93</v>
      </c>
      <c r="U21" s="1">
        <f>IF(ISERR(AVERAGEIFS(Data!$L$14:$L$167,Data!$C$14:$C$167,Výpočty!A21,Data!$B$14:$B$167,"Hra")),"",AVERAGEIFS(Data!$L$14:$L$167,Data!$C$14:$C$167,Výpočty!A21,Data!$B$14:$B$167,"Hra"))</f>
        <v>99</v>
      </c>
      <c r="V21" s="1">
        <f>IF(ISERR(AVERAGEIFS(Data!$J$14:$J$167,Data!$C$14:$C$167,Výpočty!A21,Data!$B$14:$B$167,"Rozšíření")),"",AVERAGEIFS(Data!$J$14:$J$167,Data!$C$14:$C$167,Výpočty!A21,Data!$B$14:$B$167,"Rozšíření"))</f>
        <v>98</v>
      </c>
      <c r="W21" s="1">
        <f>IF(ISERR(AVERAGEIFS(Data!$K$14:$K$167,Data!$C$14:$C$167,Výpočty!A21,Data!$B$14:$B$167,"Rozšíření")),"",AVERAGEIFS(Data!$K$14:$K$167,Data!$C$14:$C$167,Výpočty!A21,Data!$B$14:$B$167,"Rozšíření"))</f>
        <v>97</v>
      </c>
      <c r="X21" s="1">
        <f>IF(ISERR(AVERAGEIFS(Data!$L$14:$L$167,Data!$C$14:$C$167,Výpočty!A21,Data!$B$14:$B$167,"Rozšíření")),"",AVERAGEIFS(Data!$L$14:$L$167,Data!$C$14:$C$167,Výpočty!A21,Data!$B$14:$B$167,"Rozšíření"))</f>
        <v>99</v>
      </c>
    </row>
    <row r="22" spans="1:24" x14ac:dyDescent="0.25">
      <c r="A22" s="50" t="s">
        <v>344</v>
      </c>
      <c r="B22" s="51">
        <f>AVERAGEIFS(Data!$H$14:$H$167,Data!$C$14:$C$167,A22,Data!$B$14:$B$167,"Hra")</f>
        <v>26</v>
      </c>
      <c r="C22" s="51">
        <f>IF(ISERR(AVERAGEIFS(Data!$H$14:$H$167,Data!$C$14:$C$167,A22,Data!$B$14:$B$167,"Rozšíření")),0,AVERAGEIFS(Data!$H$14:$H$167,Data!$C$14:$C$167,A22,Data!$B$14:$B$167,"Rozšíření"))</f>
        <v>0</v>
      </c>
      <c r="D22" s="52">
        <f t="shared" si="0"/>
        <v>82.666666666666671</v>
      </c>
      <c r="E22" s="52" t="str">
        <f t="shared" si="1"/>
        <v>-</v>
      </c>
      <c r="F22" s="60" t="str">
        <f t="shared" ca="1" si="2"/>
        <v>0 let</v>
      </c>
      <c r="R22" s="23">
        <f>HLOOKUP("Datum vydání",Data!$A$13:$R$167,MATCH(A22,Data!$C$14:$C$167,0)+1,)</f>
        <v>43378</v>
      </c>
      <c r="S22" s="1">
        <f>IF(ISERR(AVERAGEIFS(Data!$J$14:$J$167,Data!$C$14:$C$167,Výpočty!A22,Data!$B$14:$B$167,"Hra")),"",AVERAGEIFS(Data!$J$14:$J$167,Data!$C$14:$C$167,Výpočty!A22,Data!$B$14:$B$167,"Hra"))</f>
        <v>80</v>
      </c>
      <c r="T22" s="1">
        <f>IF(ISERR(AVERAGEIFS(Data!$K$14:$K$167,Data!$C$14:$C$167,Výpočty!A22,Data!$B$14:$B$167,"Hra")),"",AVERAGEIFS(Data!$K$14:$K$167,Data!$C$14:$C$167,Výpočty!A22,Data!$B$14:$B$167,"Hra"))</f>
        <v>80</v>
      </c>
      <c r="U22" s="1">
        <f>IF(ISERR(AVERAGEIFS(Data!$L$14:$L$167,Data!$C$14:$C$167,Výpočty!A22,Data!$B$14:$B$167,"Hra")),"",AVERAGEIFS(Data!$L$14:$L$167,Data!$C$14:$C$167,Výpočty!A22,Data!$B$14:$B$167,"Hra"))</f>
        <v>88</v>
      </c>
      <c r="V22" s="1" t="str">
        <f>IF(ISERR(AVERAGEIFS(Data!$J$14:$J$167,Data!$C$14:$C$167,Výpočty!A22,Data!$B$14:$B$167,"Rozšíření")),"",AVERAGEIFS(Data!$J$14:$J$167,Data!$C$14:$C$167,Výpočty!A22,Data!$B$14:$B$167,"Rozšíření"))</f>
        <v/>
      </c>
      <c r="W22" s="1" t="str">
        <f>IF(ISERR(AVERAGEIFS(Data!$K$14:$K$167,Data!$C$14:$C$167,Výpočty!A22,Data!$B$14:$B$167,"Rozšíření")),"",AVERAGEIFS(Data!$K$14:$K$167,Data!$C$14:$C$167,Výpočty!A22,Data!$B$14:$B$167,"Rozšíření"))</f>
        <v/>
      </c>
      <c r="X22" s="1" t="str">
        <f>IF(ISERR(AVERAGEIFS(Data!$L$14:$L$167,Data!$C$14:$C$167,Výpočty!A22,Data!$B$14:$B$167,"Rozšíření")),"",AVERAGEIFS(Data!$L$14:$L$167,Data!$C$14:$C$167,Výpočty!A22,Data!$B$14:$B$167,"Rozšíření"))</f>
        <v/>
      </c>
    </row>
    <row r="23" spans="1:24" x14ac:dyDescent="0.25">
      <c r="A23" s="50" t="s">
        <v>158</v>
      </c>
      <c r="B23" s="51">
        <f>AVERAGEIFS(Data!$H$14:$H$167,Data!$C$14:$C$167,A23,Data!$B$14:$B$167,"Hra")</f>
        <v>15.5</v>
      </c>
      <c r="C23" s="51">
        <f>IF(ISERR(AVERAGEIFS(Data!$H$14:$H$167,Data!$C$14:$C$167,A23,Data!$B$14:$B$167,"Rozšíření")),0,AVERAGEIFS(Data!$H$14:$H$167,Data!$C$14:$C$167,A23,Data!$B$14:$B$167,"Rozšíření"))</f>
        <v>4.75</v>
      </c>
      <c r="D23" s="52">
        <f t="shared" si="0"/>
        <v>87</v>
      </c>
      <c r="E23" s="52">
        <f t="shared" si="1"/>
        <v>77.5</v>
      </c>
      <c r="F23" s="60" t="str">
        <f t="shared" ca="1" si="2"/>
        <v>0 let</v>
      </c>
      <c r="R23" s="23">
        <f>HLOOKUP("Datum vydání",Data!$A$13:$R$167,MATCH(A23,Data!$C$14:$C$167,0)+1,)</f>
        <v>43375</v>
      </c>
      <c r="S23" s="1">
        <f>IF(ISERR(AVERAGEIFS(Data!$J$14:$J$167,Data!$C$14:$C$167,Výpočty!A23,Data!$B$14:$B$167,"Hra")),"",AVERAGEIFS(Data!$J$14:$J$167,Data!$C$14:$C$167,Výpočty!A23,Data!$B$14:$B$167,"Hra"))</f>
        <v>89</v>
      </c>
      <c r="T23" s="1">
        <f>IF(ISERR(AVERAGEIFS(Data!$K$14:$K$167,Data!$C$14:$C$167,Výpočty!A23,Data!$B$14:$B$167,"Hra")),"",AVERAGEIFS(Data!$K$14:$K$167,Data!$C$14:$C$167,Výpočty!A23,Data!$B$14:$B$167,"Hra"))</f>
        <v>85</v>
      </c>
      <c r="U23" s="1" t="str">
        <f>IF(ISERR(AVERAGEIFS(Data!$L$14:$L$167,Data!$C$14:$C$167,Výpočty!A23,Data!$B$14:$B$167,"Hra")),"",AVERAGEIFS(Data!$L$14:$L$167,Data!$C$14:$C$167,Výpočty!A23,Data!$B$14:$B$167,"Hra"))</f>
        <v/>
      </c>
      <c r="V23" s="1">
        <f>IF(ISERR(AVERAGEIFS(Data!$J$14:$J$167,Data!$C$14:$C$167,Výpočty!A23,Data!$B$14:$B$167,"Rozšíření")),"",AVERAGEIFS(Data!$J$14:$J$167,Data!$C$14:$C$167,Výpočty!A23,Data!$B$14:$B$167,"Rozšíření"))</f>
        <v>78</v>
      </c>
      <c r="W23" s="1">
        <f>IF(ISERR(AVERAGEIFS(Data!$K$14:$K$167,Data!$C$14:$C$167,Výpočty!A23,Data!$B$14:$B$167,"Rozšíření")),"",AVERAGEIFS(Data!$K$14:$K$167,Data!$C$14:$C$167,Výpočty!A23,Data!$B$14:$B$167,"Rozšíření"))</f>
        <v>77</v>
      </c>
      <c r="X23" s="1" t="str">
        <f>IF(ISERR(AVERAGEIFS(Data!$L$14:$L$167,Data!$C$14:$C$167,Výpočty!A23,Data!$B$14:$B$167,"Rozšíření")),"",AVERAGEIFS(Data!$L$14:$L$167,Data!$C$14:$C$167,Výpočty!A23,Data!$B$14:$B$167,"Rozšíření"))</f>
        <v/>
      </c>
    </row>
    <row r="24" spans="1:24" x14ac:dyDescent="0.25">
      <c r="A24" s="50" t="s">
        <v>106</v>
      </c>
      <c r="B24" s="51">
        <f>AVERAGEIFS(Data!$H$14:$H$167,Data!$C$14:$C$167,A24,Data!$B$14:$B$167,"Hra")</f>
        <v>13</v>
      </c>
      <c r="C24" s="51">
        <f>IF(ISERR(AVERAGEIFS(Data!$H$14:$H$167,Data!$C$14:$C$167,A24,Data!$B$14:$B$167,"Rozšíření")),0,AVERAGEIFS(Data!$H$14:$H$167,Data!$C$14:$C$167,A24,Data!$B$14:$B$167,"Rozšíření"))</f>
        <v>0</v>
      </c>
      <c r="D24" s="52">
        <f t="shared" si="0"/>
        <v>83</v>
      </c>
      <c r="E24" s="52" t="str">
        <f t="shared" si="1"/>
        <v>-</v>
      </c>
      <c r="F24" s="60" t="str">
        <f t="shared" ca="1" si="2"/>
        <v>0 let</v>
      </c>
      <c r="R24" s="23">
        <f>HLOOKUP("Datum vydání",Data!$A$13:$R$167,MATCH(A24,Data!$C$14:$C$167,0)+1,)</f>
        <v>43357</v>
      </c>
      <c r="S24" s="1">
        <f>IF(ISERR(AVERAGEIFS(Data!$J$14:$J$167,Data!$C$14:$C$167,Výpočty!A24,Data!$B$14:$B$167,"Hra")),"",AVERAGEIFS(Data!$J$14:$J$167,Data!$C$14:$C$167,Výpočty!A24,Data!$B$14:$B$167,"Hra"))</f>
        <v>71</v>
      </c>
      <c r="T24" s="1">
        <f>IF(ISERR(AVERAGEIFS(Data!$K$14:$K$167,Data!$C$14:$C$167,Výpočty!A24,Data!$B$14:$B$167,"Hra")),"",AVERAGEIFS(Data!$K$14:$K$167,Data!$C$14:$C$167,Výpočty!A24,Data!$B$14:$B$167,"Hra"))</f>
        <v>90</v>
      </c>
      <c r="U24" s="1">
        <f>IF(ISERR(AVERAGEIFS(Data!$L$14:$L$167,Data!$C$14:$C$167,Výpočty!A24,Data!$B$14:$B$167,"Hra")),"",AVERAGEIFS(Data!$L$14:$L$167,Data!$C$14:$C$167,Výpočty!A24,Data!$B$14:$B$167,"Hra"))</f>
        <v>88</v>
      </c>
      <c r="V24" s="1" t="str">
        <f>IF(ISERR(AVERAGEIFS(Data!$J$14:$J$167,Data!$C$14:$C$167,Výpočty!A24,Data!$B$14:$B$167,"Rozšíření")),"",AVERAGEIFS(Data!$J$14:$J$167,Data!$C$14:$C$167,Výpočty!A24,Data!$B$14:$B$167,"Rozšíření"))</f>
        <v/>
      </c>
      <c r="W24" s="1" t="str">
        <f>IF(ISERR(AVERAGEIFS(Data!$K$14:$K$167,Data!$C$14:$C$167,Výpočty!A24,Data!$B$14:$B$167,"Rozšíření")),"",AVERAGEIFS(Data!$K$14:$K$167,Data!$C$14:$C$167,Výpočty!A24,Data!$B$14:$B$167,"Rozšíření"))</f>
        <v/>
      </c>
      <c r="X24" s="1" t="str">
        <f>IF(ISERR(AVERAGEIFS(Data!$L$14:$L$167,Data!$C$14:$C$167,Výpočty!A24,Data!$B$14:$B$167,"Rozšíření")),"",AVERAGEIFS(Data!$L$14:$L$167,Data!$C$14:$C$167,Výpočty!A24,Data!$B$14:$B$167,"Rozšíření"))</f>
        <v/>
      </c>
    </row>
    <row r="25" spans="1:24" x14ac:dyDescent="0.25">
      <c r="A25" s="50" t="s">
        <v>25</v>
      </c>
      <c r="B25" s="51">
        <f>AVERAGEIFS(Data!$H$14:$H$167,Data!$C$14:$C$167,A25,Data!$B$14:$B$167,"Hra")</f>
        <v>13.5</v>
      </c>
      <c r="C25" s="51">
        <f>IF(ISERR(AVERAGEIFS(Data!$H$14:$H$167,Data!$C$14:$C$167,A25,Data!$B$14:$B$167,"Rozšíření")),0,AVERAGEIFS(Data!$H$14:$H$167,Data!$C$14:$C$167,A25,Data!$B$14:$B$167,"Rozšíření"))</f>
        <v>0</v>
      </c>
      <c r="D25" s="52">
        <f t="shared" si="0"/>
        <v>91.333333333333329</v>
      </c>
      <c r="E25" s="52" t="str">
        <f t="shared" si="1"/>
        <v>-</v>
      </c>
      <c r="F25" s="60" t="str">
        <f t="shared" ca="1" si="2"/>
        <v>0 let</v>
      </c>
      <c r="R25" s="23">
        <f>HLOOKUP("Datum vydání",Data!$A$13:$R$167,MATCH(A25,Data!$C$14:$C$167,0)+1,)</f>
        <v>43350</v>
      </c>
      <c r="S25" s="1">
        <f>IF(ISERR(AVERAGEIFS(Data!$J$14:$J$167,Data!$C$14:$C$167,Výpočty!A25,Data!$B$14:$B$167,"Hra")),"",AVERAGEIFS(Data!$J$14:$J$167,Data!$C$14:$C$167,Výpočty!A25,Data!$B$14:$B$167,"Hra"))</f>
        <v>90</v>
      </c>
      <c r="T25" s="1">
        <f>IF(ISERR(AVERAGEIFS(Data!$K$14:$K$167,Data!$C$14:$C$167,Výpočty!A25,Data!$B$14:$B$167,"Hra")),"",AVERAGEIFS(Data!$K$14:$K$167,Data!$C$14:$C$167,Výpočty!A25,Data!$B$14:$B$167,"Hra"))</f>
        <v>86</v>
      </c>
      <c r="U25" s="1">
        <f>IF(ISERR(AVERAGEIFS(Data!$L$14:$L$167,Data!$C$14:$C$167,Výpočty!A25,Data!$B$14:$B$167,"Hra")),"",AVERAGEIFS(Data!$L$14:$L$167,Data!$C$14:$C$167,Výpočty!A25,Data!$B$14:$B$167,"Hra"))</f>
        <v>98</v>
      </c>
      <c r="V25" s="1" t="str">
        <f>IF(ISERR(AVERAGEIFS(Data!$J$14:$J$167,Data!$C$14:$C$167,Výpočty!A25,Data!$B$14:$B$167,"Rozšíření")),"",AVERAGEIFS(Data!$J$14:$J$167,Data!$C$14:$C$167,Výpočty!A25,Data!$B$14:$B$167,"Rozšíření"))</f>
        <v/>
      </c>
      <c r="W25" s="1" t="str">
        <f>IF(ISERR(AVERAGEIFS(Data!$K$14:$K$167,Data!$C$14:$C$167,Výpočty!A25,Data!$B$14:$B$167,"Rozšíření")),"",AVERAGEIFS(Data!$K$14:$K$167,Data!$C$14:$C$167,Výpočty!A25,Data!$B$14:$B$167,"Rozšíření"))</f>
        <v/>
      </c>
      <c r="X25" s="1" t="str">
        <f>IF(ISERR(AVERAGEIFS(Data!$L$14:$L$167,Data!$C$14:$C$167,Výpočty!A25,Data!$B$14:$B$167,"Rozšíření")),"",AVERAGEIFS(Data!$L$14:$L$167,Data!$C$14:$C$167,Výpočty!A25,Data!$B$14:$B$167,"Rozšíření"))</f>
        <v/>
      </c>
    </row>
    <row r="26" spans="1:24" x14ac:dyDescent="0.25">
      <c r="A26" s="50" t="s">
        <v>155</v>
      </c>
      <c r="B26" s="51">
        <f>AVERAGEIFS(Data!$H$14:$H$167,Data!$C$14:$C$167,A26,Data!$B$14:$B$167,"Hra")</f>
        <v>5.5</v>
      </c>
      <c r="C26" s="51">
        <f>IF(ISERR(AVERAGEIFS(Data!$H$14:$H$167,Data!$C$14:$C$167,A26,Data!$B$14:$B$167,"Rozšíření")),0,AVERAGEIFS(Data!$H$14:$H$167,Data!$C$14:$C$167,A26,Data!$B$14:$B$167,"Rozšíření"))</f>
        <v>0</v>
      </c>
      <c r="D26" s="52">
        <f t="shared" si="0"/>
        <v>88.666666666666671</v>
      </c>
      <c r="E26" s="52" t="str">
        <f t="shared" si="1"/>
        <v>-</v>
      </c>
      <c r="F26" s="60" t="str">
        <f t="shared" ca="1" si="2"/>
        <v>0 let</v>
      </c>
      <c r="R26" s="23">
        <f>HLOOKUP("Datum vydání",Data!$A$13:$R$167,MATCH(A26,Data!$C$14:$C$167,0)+1,)</f>
        <v>43319</v>
      </c>
      <c r="S26" s="1">
        <f>IF(ISERR(AVERAGEIFS(Data!$J$14:$J$167,Data!$C$14:$C$167,Výpočty!A26,Data!$B$14:$B$167,"Hra")),"",AVERAGEIFS(Data!$J$14:$J$167,Data!$C$14:$C$167,Výpočty!A26,Data!$B$14:$B$167,"Hra"))</f>
        <v>81</v>
      </c>
      <c r="T26" s="1">
        <f>IF(ISERR(AVERAGEIFS(Data!$K$14:$K$167,Data!$C$14:$C$167,Výpočty!A26,Data!$B$14:$B$167,"Hra")),"",AVERAGEIFS(Data!$K$14:$K$167,Data!$C$14:$C$167,Výpočty!A26,Data!$B$14:$B$167,"Hra"))</f>
        <v>95</v>
      </c>
      <c r="U26" s="1">
        <f>IF(ISERR(AVERAGEIFS(Data!$L$14:$L$167,Data!$C$14:$C$167,Výpočty!A26,Data!$B$14:$B$167,"Hra")),"",AVERAGEIFS(Data!$L$14:$L$167,Data!$C$14:$C$167,Výpočty!A26,Data!$B$14:$B$167,"Hra"))</f>
        <v>90</v>
      </c>
      <c r="V26" s="1" t="str">
        <f>IF(ISERR(AVERAGEIFS(Data!$J$14:$J$167,Data!$C$14:$C$167,Výpočty!A26,Data!$B$14:$B$167,"Rozšíření")),"",AVERAGEIFS(Data!$J$14:$J$167,Data!$C$14:$C$167,Výpočty!A26,Data!$B$14:$B$167,"Rozšíření"))</f>
        <v/>
      </c>
      <c r="W26" s="1" t="str">
        <f>IF(ISERR(AVERAGEIFS(Data!$K$14:$K$167,Data!$C$14:$C$167,Výpočty!A26,Data!$B$14:$B$167,"Rozšíření")),"",AVERAGEIFS(Data!$K$14:$K$167,Data!$C$14:$C$167,Výpočty!A26,Data!$B$14:$B$167,"Rozšíření"))</f>
        <v/>
      </c>
      <c r="X26" s="1" t="str">
        <f>IF(ISERR(AVERAGEIFS(Data!$L$14:$L$167,Data!$C$14:$C$167,Výpočty!A26,Data!$B$14:$B$167,"Rozšíření")),"",AVERAGEIFS(Data!$L$14:$L$167,Data!$C$14:$C$167,Výpočty!A26,Data!$B$14:$B$167,"Rozšíření"))</f>
        <v/>
      </c>
    </row>
    <row r="27" spans="1:24" x14ac:dyDescent="0.25">
      <c r="A27" s="50" t="s">
        <v>75</v>
      </c>
      <c r="B27" s="51">
        <f>AVERAGEIFS(Data!$H$14:$H$167,Data!$C$14:$C$167,A27,Data!$B$14:$B$167,"Hra")</f>
        <v>12</v>
      </c>
      <c r="C27" s="51">
        <f>IF(ISERR(AVERAGEIFS(Data!$H$14:$H$167,Data!$C$14:$C$167,A27,Data!$B$14:$B$167,"Rozšíření")),0,AVERAGEIFS(Data!$H$14:$H$167,Data!$C$14:$C$167,A27,Data!$B$14:$B$167,"Rozšíření"))</f>
        <v>6.666666666666667</v>
      </c>
      <c r="D27" s="52">
        <f t="shared" si="0"/>
        <v>86.583333333333329</v>
      </c>
      <c r="E27" s="52">
        <f t="shared" si="1"/>
        <v>88</v>
      </c>
      <c r="F27" s="60" t="str">
        <f t="shared" ca="1" si="2"/>
        <v>0 let</v>
      </c>
      <c r="R27" s="23">
        <f>HLOOKUP("Datum vydání",Data!$A$13:$R$167,MATCH(A27,Data!$C$14:$C$167,0)+1,)</f>
        <v>43261</v>
      </c>
      <c r="S27" s="1">
        <f>IF(ISERR(AVERAGEIFS(Data!$J$14:$J$167,Data!$C$14:$C$167,Výpočty!A27,Data!$B$14:$B$167,"Hra")),"",AVERAGEIFS(Data!$J$14:$J$167,Data!$C$14:$C$167,Výpočty!A27,Data!$B$14:$B$167,"Hra"))</f>
        <v>86.75</v>
      </c>
      <c r="T27" s="1">
        <f>IF(ISERR(AVERAGEIFS(Data!$K$14:$K$167,Data!$C$14:$C$167,Výpočty!A27,Data!$B$14:$B$167,"Hra")),"",AVERAGEIFS(Data!$K$14:$K$167,Data!$C$14:$C$167,Výpočty!A27,Data!$B$14:$B$167,"Hra"))</f>
        <v>86.5</v>
      </c>
      <c r="U27" s="1">
        <f>IF(ISERR(AVERAGEIFS(Data!$L$14:$L$167,Data!$C$14:$C$167,Výpočty!A27,Data!$B$14:$B$167,"Hra")),"",AVERAGEIFS(Data!$L$14:$L$167,Data!$C$14:$C$167,Výpočty!A27,Data!$B$14:$B$167,"Hra"))</f>
        <v>86.5</v>
      </c>
      <c r="V27" s="1">
        <f>IF(ISERR(AVERAGEIFS(Data!$J$14:$J$167,Data!$C$14:$C$167,Výpočty!A27,Data!$B$14:$B$167,"Rozšíření")),"",AVERAGEIFS(Data!$J$14:$J$167,Data!$C$14:$C$167,Výpočty!A27,Data!$B$14:$B$167,"Rozšíření"))</f>
        <v>89.333333333333329</v>
      </c>
      <c r="W27" s="1">
        <f>IF(ISERR(AVERAGEIFS(Data!$K$14:$K$167,Data!$C$14:$C$167,Výpočty!A27,Data!$B$14:$B$167,"Rozšíření")),"",AVERAGEIFS(Data!$K$14:$K$167,Data!$C$14:$C$167,Výpočty!A27,Data!$B$14:$B$167,"Rozšíření"))</f>
        <v>90</v>
      </c>
      <c r="X27" s="1">
        <f>IF(ISERR(AVERAGEIFS(Data!$L$14:$L$167,Data!$C$14:$C$167,Výpočty!A27,Data!$B$14:$B$167,"Rozšíření")),"",AVERAGEIFS(Data!$L$14:$L$167,Data!$C$14:$C$167,Výpočty!A27,Data!$B$14:$B$167,"Rozšíření"))</f>
        <v>84.666666666666671</v>
      </c>
    </row>
    <row r="28" spans="1:24" x14ac:dyDescent="0.25">
      <c r="A28" s="50" t="s">
        <v>66</v>
      </c>
      <c r="B28" s="51">
        <f>AVERAGEIFS(Data!$H$14:$H$167,Data!$C$14:$C$167,A28,Data!$B$14:$B$167,"Hra")</f>
        <v>15.25</v>
      </c>
      <c r="C28" s="51">
        <f>IF(ISERR(AVERAGEIFS(Data!$H$14:$H$167,Data!$C$14:$C$167,A28,Data!$B$14:$B$167,"Rozšíření")),0,AVERAGEIFS(Data!$H$14:$H$167,Data!$C$14:$C$167,A28,Data!$B$14:$B$167,"Rozšíření"))</f>
        <v>0</v>
      </c>
      <c r="D28" s="52">
        <f t="shared" si="0"/>
        <v>84.5</v>
      </c>
      <c r="E28" s="52" t="str">
        <f t="shared" si="1"/>
        <v>-</v>
      </c>
      <c r="F28" s="60" t="str">
        <f t="shared" ca="1" si="2"/>
        <v>0 let</v>
      </c>
      <c r="R28" s="23">
        <f>HLOOKUP("Datum vydání",Data!$A$13:$R$167,MATCH(A28,Data!$C$14:$C$167,0)+1,)</f>
        <v>43256</v>
      </c>
      <c r="S28" s="1">
        <f>IF(ISERR(AVERAGEIFS(Data!$J$14:$J$167,Data!$C$14:$C$167,Výpočty!A28,Data!$B$14:$B$167,"Hra")),"",AVERAGEIFS(Data!$J$14:$J$167,Data!$C$14:$C$167,Výpočty!A28,Data!$B$14:$B$167,"Hra"))</f>
        <v>83.5</v>
      </c>
      <c r="T28" s="1">
        <f>IF(ISERR(AVERAGEIFS(Data!$K$14:$K$167,Data!$C$14:$C$167,Výpočty!A28,Data!$B$14:$B$167,"Hra")),"",AVERAGEIFS(Data!$K$14:$K$167,Data!$C$14:$C$167,Výpočty!A28,Data!$B$14:$B$167,"Hra"))</f>
        <v>85</v>
      </c>
      <c r="U28" s="1">
        <f>IF(ISERR(AVERAGEIFS(Data!$L$14:$L$167,Data!$C$14:$C$167,Výpočty!A28,Data!$B$14:$B$167,"Hra")),"",AVERAGEIFS(Data!$L$14:$L$167,Data!$C$14:$C$167,Výpočty!A28,Data!$B$14:$B$167,"Hra"))</f>
        <v>85</v>
      </c>
      <c r="V28" s="1" t="str">
        <f>IF(ISERR(AVERAGEIFS(Data!$J$14:$J$167,Data!$C$14:$C$167,Výpočty!A28,Data!$B$14:$B$167,"Rozšíření")),"",AVERAGEIFS(Data!$J$14:$J$167,Data!$C$14:$C$167,Výpočty!A28,Data!$B$14:$B$167,"Rozšíření"))</f>
        <v/>
      </c>
      <c r="W28" s="1" t="str">
        <f>IF(ISERR(AVERAGEIFS(Data!$K$14:$K$167,Data!$C$14:$C$167,Výpočty!A28,Data!$B$14:$B$167,"Rozšíření")),"",AVERAGEIFS(Data!$K$14:$K$167,Data!$C$14:$C$167,Výpočty!A28,Data!$B$14:$B$167,"Rozšíření"))</f>
        <v/>
      </c>
      <c r="X28" s="1" t="str">
        <f>IF(ISERR(AVERAGEIFS(Data!$L$14:$L$167,Data!$C$14:$C$167,Výpočty!A28,Data!$B$14:$B$167,"Rozšíření")),"",AVERAGEIFS(Data!$L$14:$L$167,Data!$C$14:$C$167,Výpočty!A28,Data!$B$14:$B$167,"Rozšíření"))</f>
        <v/>
      </c>
    </row>
    <row r="29" spans="1:24" x14ac:dyDescent="0.25">
      <c r="A29" s="50" t="s">
        <v>357</v>
      </c>
      <c r="B29" s="51">
        <f>AVERAGEIFS(Data!$H$14:$H$167,Data!$C$14:$C$167,A29,Data!$B$14:$B$167,"Hra")</f>
        <v>11.5</v>
      </c>
      <c r="C29" s="51">
        <f>IF(ISERR(AVERAGEIFS(Data!$H$14:$H$167,Data!$C$14:$C$167,A29,Data!$B$14:$B$167,"Rozšíření")),0,AVERAGEIFS(Data!$H$14:$H$167,Data!$C$14:$C$167,A29,Data!$B$14:$B$167,"Rozšíření"))</f>
        <v>0</v>
      </c>
      <c r="D29" s="52">
        <f t="shared" si="0"/>
        <v>92</v>
      </c>
      <c r="E29" s="52" t="str">
        <f t="shared" si="1"/>
        <v>-</v>
      </c>
      <c r="F29" s="60" t="str">
        <f t="shared" ca="1" si="2"/>
        <v>0 let</v>
      </c>
      <c r="R29" s="23">
        <f>HLOOKUP("Datum vydání",Data!$A$13:$R$167,MATCH(A29,Data!$C$14:$C$167,0)+1,)</f>
        <v>43245</v>
      </c>
      <c r="S29" s="1" t="str">
        <f>IF(ISERR(AVERAGEIFS(Data!$J$14:$J$167,Data!$C$14:$C$167,Výpočty!A29,Data!$B$14:$B$167,"Hra")),"",AVERAGEIFS(Data!$J$14:$J$167,Data!$C$14:$C$167,Výpočty!A29,Data!$B$14:$B$167,"Hra"))</f>
        <v/>
      </c>
      <c r="T29" s="1" t="str">
        <f>IF(ISERR(AVERAGEIFS(Data!$K$14:$K$167,Data!$C$14:$C$167,Výpočty!A29,Data!$B$14:$B$167,"Hra")),"",AVERAGEIFS(Data!$K$14:$K$167,Data!$C$14:$C$167,Výpočty!A29,Data!$B$14:$B$167,"Hra"))</f>
        <v/>
      </c>
      <c r="U29" s="1">
        <f>IF(ISERR(AVERAGEIFS(Data!$L$14:$L$167,Data!$C$14:$C$167,Výpočty!A29,Data!$B$14:$B$167,"Hra")),"",AVERAGEIFS(Data!$L$14:$L$167,Data!$C$14:$C$167,Výpočty!A29,Data!$B$14:$B$167,"Hra"))</f>
        <v>92</v>
      </c>
      <c r="V29" s="1" t="str">
        <f>IF(ISERR(AVERAGEIFS(Data!$J$14:$J$167,Data!$C$14:$C$167,Výpočty!A29,Data!$B$14:$B$167,"Rozšíření")),"",AVERAGEIFS(Data!$J$14:$J$167,Data!$C$14:$C$167,Výpočty!A29,Data!$B$14:$B$167,"Rozšíření"))</f>
        <v/>
      </c>
      <c r="W29" s="1" t="str">
        <f>IF(ISERR(AVERAGEIFS(Data!$K$14:$K$167,Data!$C$14:$C$167,Výpočty!A29,Data!$B$14:$B$167,"Rozšíření")),"",AVERAGEIFS(Data!$K$14:$K$167,Data!$C$14:$C$167,Výpočty!A29,Data!$B$14:$B$167,"Rozšíření"))</f>
        <v/>
      </c>
      <c r="X29" s="1" t="str">
        <f>IF(ISERR(AVERAGEIFS(Data!$L$14:$L$167,Data!$C$14:$C$167,Výpočty!A29,Data!$B$14:$B$167,"Rozšíření")),"",AVERAGEIFS(Data!$L$14:$L$167,Data!$C$14:$C$167,Výpočty!A29,Data!$B$14:$B$167,"Rozšíření"))</f>
        <v/>
      </c>
    </row>
    <row r="30" spans="1:24" x14ac:dyDescent="0.25">
      <c r="A30" s="50" t="s">
        <v>113</v>
      </c>
      <c r="B30" s="51">
        <f>AVERAGEIFS(Data!$H$14:$H$167,Data!$C$14:$C$167,A30,Data!$B$14:$B$167,"Hra")</f>
        <v>18.55</v>
      </c>
      <c r="C30" s="51">
        <f>IF(ISERR(AVERAGEIFS(Data!$H$14:$H$167,Data!$C$14:$C$167,A30,Data!$B$14:$B$167,"Rozšíření")),0,AVERAGEIFS(Data!$H$14:$H$167,Data!$C$14:$C$167,A30,Data!$B$14:$B$167,"Rozšíření"))</f>
        <v>0</v>
      </c>
      <c r="D30" s="52">
        <f t="shared" si="0"/>
        <v>83.542857142857144</v>
      </c>
      <c r="E30" s="52" t="str">
        <f t="shared" si="1"/>
        <v>-</v>
      </c>
      <c r="F30" s="60" t="str">
        <f t="shared" ca="1" si="2"/>
        <v>0 let</v>
      </c>
      <c r="R30" s="23">
        <f>HLOOKUP("Datum vydání",Data!$A$13:$R$167,MATCH(A30,Data!$C$14:$C$167,0)+1,)</f>
        <v>43217</v>
      </c>
      <c r="S30" s="1">
        <f>IF(ISERR(AVERAGEIFS(Data!$J$14:$J$167,Data!$C$14:$C$167,Výpočty!A30,Data!$B$14:$B$167,"Hra")),"",AVERAGEIFS(Data!$J$14:$J$167,Data!$C$14:$C$167,Výpočty!A30,Data!$B$14:$B$167,"Hra"))</f>
        <v>79.2</v>
      </c>
      <c r="T30" s="1">
        <f>IF(ISERR(AVERAGEIFS(Data!$K$14:$K$167,Data!$C$14:$C$167,Výpočty!A30,Data!$B$14:$B$167,"Hra")),"",AVERAGEIFS(Data!$K$14:$K$167,Data!$C$14:$C$167,Výpočty!A30,Data!$B$14:$B$167,"Hra"))</f>
        <v>82</v>
      </c>
      <c r="U30" s="1">
        <f>IF(ISERR(AVERAGEIFS(Data!$L$14:$L$167,Data!$C$14:$C$167,Výpočty!A30,Data!$B$14:$B$167,"Hra")),"",AVERAGEIFS(Data!$L$14:$L$167,Data!$C$14:$C$167,Výpočty!A30,Data!$B$14:$B$167,"Hra"))</f>
        <v>89.428571428571431</v>
      </c>
      <c r="V30" s="1" t="str">
        <f>IF(ISERR(AVERAGEIFS(Data!$J$14:$J$167,Data!$C$14:$C$167,Výpočty!A30,Data!$B$14:$B$167,"Rozšíření")),"",AVERAGEIFS(Data!$J$14:$J$167,Data!$C$14:$C$167,Výpočty!A30,Data!$B$14:$B$167,"Rozšíření"))</f>
        <v/>
      </c>
      <c r="W30" s="1" t="str">
        <f>IF(ISERR(AVERAGEIFS(Data!$K$14:$K$167,Data!$C$14:$C$167,Výpočty!A30,Data!$B$14:$B$167,"Rozšíření")),"",AVERAGEIFS(Data!$K$14:$K$167,Data!$C$14:$C$167,Výpočty!A30,Data!$B$14:$B$167,"Rozšíření"))</f>
        <v/>
      </c>
      <c r="X30" s="1" t="str">
        <f>IF(ISERR(AVERAGEIFS(Data!$L$14:$L$167,Data!$C$14:$C$167,Výpočty!A30,Data!$B$14:$B$167,"Rozšíření")),"",AVERAGEIFS(Data!$L$14:$L$167,Data!$C$14:$C$167,Výpočty!A30,Data!$B$14:$B$167,"Rozšíření"))</f>
        <v/>
      </c>
    </row>
    <row r="31" spans="1:24" x14ac:dyDescent="0.25">
      <c r="A31" s="50" t="s">
        <v>319</v>
      </c>
      <c r="B31" s="51">
        <f>AVERAGEIFS(Data!$H$14:$H$167,Data!$C$14:$C$167,A31,Data!$B$14:$B$167,"Hra")</f>
        <v>2</v>
      </c>
      <c r="C31" s="51">
        <f>IF(ISERR(AVERAGEIFS(Data!$H$14:$H$167,Data!$C$14:$C$167,A31,Data!$B$14:$B$167,"Rozšíření")),0,AVERAGEIFS(Data!$H$14:$H$167,Data!$C$14:$C$167,A31,Data!$B$14:$B$167,"Rozšíření"))</f>
        <v>0</v>
      </c>
      <c r="D31" s="52">
        <f t="shared" si="0"/>
        <v>86</v>
      </c>
      <c r="E31" s="52" t="str">
        <f t="shared" si="1"/>
        <v>-</v>
      </c>
      <c r="F31" s="60" t="str">
        <f t="shared" ca="1" si="2"/>
        <v>0 let</v>
      </c>
      <c r="R31" s="23">
        <f>HLOOKUP("Datum vydání",Data!$A$13:$R$167,MATCH(A31,Data!$C$14:$C$167,0)+1,)</f>
        <v>43197</v>
      </c>
      <c r="S31" s="1">
        <f>IF(ISERR(AVERAGEIFS(Data!$J$14:$J$167,Data!$C$14:$C$167,Výpočty!A31,Data!$B$14:$B$167,"Hra")),"",AVERAGEIFS(Data!$J$14:$J$167,Data!$C$14:$C$167,Výpočty!A31,Data!$B$14:$B$167,"Hra"))</f>
        <v>86</v>
      </c>
      <c r="T31" s="1" t="str">
        <f>IF(ISERR(AVERAGEIFS(Data!$K$14:$K$167,Data!$C$14:$C$167,Výpočty!A31,Data!$B$14:$B$167,"Hra")),"",AVERAGEIFS(Data!$K$14:$K$167,Data!$C$14:$C$167,Výpočty!A31,Data!$B$14:$B$167,"Hra"))</f>
        <v/>
      </c>
      <c r="U31" s="1" t="str">
        <f>IF(ISERR(AVERAGEIFS(Data!$L$14:$L$167,Data!$C$14:$C$167,Výpočty!A31,Data!$B$14:$B$167,"Hra")),"",AVERAGEIFS(Data!$L$14:$L$167,Data!$C$14:$C$167,Výpočty!A31,Data!$B$14:$B$167,"Hra"))</f>
        <v/>
      </c>
      <c r="V31" s="1" t="str">
        <f>IF(ISERR(AVERAGEIFS(Data!$J$14:$J$167,Data!$C$14:$C$167,Výpočty!A31,Data!$B$14:$B$167,"Rozšíření")),"",AVERAGEIFS(Data!$J$14:$J$167,Data!$C$14:$C$167,Výpočty!A31,Data!$B$14:$B$167,"Rozšíření"))</f>
        <v/>
      </c>
      <c r="W31" s="1" t="str">
        <f>IF(ISERR(AVERAGEIFS(Data!$K$14:$K$167,Data!$C$14:$C$167,Výpočty!A31,Data!$B$14:$B$167,"Rozšíření")),"",AVERAGEIFS(Data!$K$14:$K$167,Data!$C$14:$C$167,Výpočty!A31,Data!$B$14:$B$167,"Rozšíření"))</f>
        <v/>
      </c>
      <c r="X31" s="1" t="str">
        <f>IF(ISERR(AVERAGEIFS(Data!$L$14:$L$167,Data!$C$14:$C$167,Výpočty!A31,Data!$B$14:$B$167,"Rozšíření")),"",AVERAGEIFS(Data!$L$14:$L$167,Data!$C$14:$C$167,Výpočty!A31,Data!$B$14:$B$167,"Rozšíření"))</f>
        <v/>
      </c>
    </row>
    <row r="32" spans="1:24" x14ac:dyDescent="0.25">
      <c r="A32" s="50" t="s">
        <v>210</v>
      </c>
      <c r="B32" s="51">
        <f>AVERAGEIFS(Data!$H$14:$H$167,Data!$C$14:$C$167,A32,Data!$B$14:$B$167,"Hra")</f>
        <v>10</v>
      </c>
      <c r="C32" s="51">
        <f>IF(ISERR(AVERAGEIFS(Data!$H$14:$H$167,Data!$C$14:$C$167,A32,Data!$B$14:$B$167,"Rozšíření")),0,AVERAGEIFS(Data!$H$14:$H$167,Data!$C$14:$C$167,A32,Data!$B$14:$B$167,"Rozšíření"))</f>
        <v>0</v>
      </c>
      <c r="D32" s="52">
        <f t="shared" si="0"/>
        <v>89</v>
      </c>
      <c r="E32" s="52" t="str">
        <f t="shared" si="1"/>
        <v>-</v>
      </c>
      <c r="F32" s="60" t="str">
        <f t="shared" ca="1" si="2"/>
        <v>0 let</v>
      </c>
      <c r="R32" s="23">
        <f>HLOOKUP("Datum vydání",Data!$A$13:$R$167,MATCH(A32,Data!$C$14:$C$167,0)+1,)</f>
        <v>43183</v>
      </c>
      <c r="S32" s="1">
        <f>IF(ISERR(AVERAGEIFS(Data!$J$14:$J$167,Data!$C$14:$C$167,Výpočty!A32,Data!$B$14:$B$167,"Hra")),"",AVERAGEIFS(Data!$J$14:$J$167,Data!$C$14:$C$167,Výpočty!A32,Data!$B$14:$B$167,"Hra"))</f>
        <v>91</v>
      </c>
      <c r="T32" s="1">
        <f>IF(ISERR(AVERAGEIFS(Data!$K$14:$K$167,Data!$C$14:$C$167,Výpočty!A32,Data!$B$14:$B$167,"Hra")),"",AVERAGEIFS(Data!$K$14:$K$167,Data!$C$14:$C$167,Výpočty!A32,Data!$B$14:$B$167,"Hra"))</f>
        <v>86</v>
      </c>
      <c r="U32" s="1">
        <f>IF(ISERR(AVERAGEIFS(Data!$L$14:$L$167,Data!$C$14:$C$167,Výpočty!A32,Data!$B$14:$B$167,"Hra")),"",AVERAGEIFS(Data!$L$14:$L$167,Data!$C$14:$C$167,Výpočty!A32,Data!$B$14:$B$167,"Hra"))</f>
        <v>90</v>
      </c>
      <c r="V32" s="1" t="str">
        <f>IF(ISERR(AVERAGEIFS(Data!$J$14:$J$167,Data!$C$14:$C$167,Výpočty!A32,Data!$B$14:$B$167,"Rozšíření")),"",AVERAGEIFS(Data!$J$14:$J$167,Data!$C$14:$C$167,Výpočty!A32,Data!$B$14:$B$167,"Rozšíření"))</f>
        <v/>
      </c>
      <c r="W32" s="1" t="str">
        <f>IF(ISERR(AVERAGEIFS(Data!$K$14:$K$167,Data!$C$14:$C$167,Výpočty!A32,Data!$B$14:$B$167,"Rozšíření")),"",AVERAGEIFS(Data!$K$14:$K$167,Data!$C$14:$C$167,Výpočty!A32,Data!$B$14:$B$167,"Rozšíření"))</f>
        <v/>
      </c>
      <c r="X32" s="1" t="str">
        <f>IF(ISERR(AVERAGEIFS(Data!$L$14:$L$167,Data!$C$14:$C$167,Výpočty!A32,Data!$B$14:$B$167,"Rozšíření")),"",AVERAGEIFS(Data!$L$14:$L$167,Data!$C$14:$C$167,Výpočty!A32,Data!$B$14:$B$167,"Rozšíření"))</f>
        <v/>
      </c>
    </row>
    <row r="33" spans="1:24" x14ac:dyDescent="0.25">
      <c r="A33" s="50" t="s">
        <v>104</v>
      </c>
      <c r="B33" s="51">
        <f>AVERAGEIFS(Data!$H$14:$H$167,Data!$C$14:$C$167,A33,Data!$B$14:$B$167,"Hra")</f>
        <v>19.5</v>
      </c>
      <c r="C33" s="51">
        <f>IF(ISERR(AVERAGEIFS(Data!$H$14:$H$167,Data!$C$14:$C$167,A33,Data!$B$14:$B$167,"Rozšíření")),0,AVERAGEIFS(Data!$H$14:$H$167,Data!$C$14:$C$167,A33,Data!$B$14:$B$167,"Rozšíření"))</f>
        <v>0</v>
      </c>
      <c r="D33" s="52">
        <f t="shared" si="0"/>
        <v>100</v>
      </c>
      <c r="E33" s="52" t="str">
        <f t="shared" si="1"/>
        <v>-</v>
      </c>
      <c r="F33" s="60" t="str">
        <f t="shared" ca="1" si="2"/>
        <v>0 let</v>
      </c>
      <c r="R33" s="23">
        <f>HLOOKUP("Datum vydání",Data!$A$13:$R$167,MATCH(A33,Data!$C$14:$C$167,0)+1,)</f>
        <v>43179</v>
      </c>
      <c r="S33" s="1" t="str">
        <f>IF(ISERR(AVERAGEIFS(Data!$J$14:$J$167,Data!$C$14:$C$167,Výpočty!A33,Data!$B$14:$B$167,"Hra")),"",AVERAGEIFS(Data!$J$14:$J$167,Data!$C$14:$C$167,Výpočty!A33,Data!$B$14:$B$167,"Hra"))</f>
        <v/>
      </c>
      <c r="T33" s="1" t="str">
        <f>IF(ISERR(AVERAGEIFS(Data!$K$14:$K$167,Data!$C$14:$C$167,Výpočty!A33,Data!$B$14:$B$167,"Hra")),"",AVERAGEIFS(Data!$K$14:$K$167,Data!$C$14:$C$167,Výpočty!A33,Data!$B$14:$B$167,"Hra"))</f>
        <v/>
      </c>
      <c r="U33" s="1">
        <f>IF(ISERR(AVERAGEIFS(Data!$L$14:$L$167,Data!$C$14:$C$167,Výpočty!A33,Data!$B$14:$B$167,"Hra")),"",AVERAGEIFS(Data!$L$14:$L$167,Data!$C$14:$C$167,Výpočty!A33,Data!$B$14:$B$167,"Hra"))</f>
        <v>100</v>
      </c>
      <c r="V33" s="1" t="str">
        <f>IF(ISERR(AVERAGEIFS(Data!$J$14:$J$167,Data!$C$14:$C$167,Výpočty!A33,Data!$B$14:$B$167,"Rozšíření")),"",AVERAGEIFS(Data!$J$14:$J$167,Data!$C$14:$C$167,Výpočty!A33,Data!$B$14:$B$167,"Rozšíření"))</f>
        <v/>
      </c>
      <c r="W33" s="1" t="str">
        <f>IF(ISERR(AVERAGEIFS(Data!$K$14:$K$167,Data!$C$14:$C$167,Výpočty!A33,Data!$B$14:$B$167,"Rozšíření")),"",AVERAGEIFS(Data!$K$14:$K$167,Data!$C$14:$C$167,Výpočty!A33,Data!$B$14:$B$167,"Rozšíření"))</f>
        <v/>
      </c>
      <c r="X33" s="1" t="str">
        <f>IF(ISERR(AVERAGEIFS(Data!$L$14:$L$167,Data!$C$14:$C$167,Výpočty!A33,Data!$B$14:$B$167,"Rozšíření")),"",AVERAGEIFS(Data!$L$14:$L$167,Data!$C$14:$C$167,Výpočty!A33,Data!$B$14:$B$167,"Rozšíření"))</f>
        <v/>
      </c>
    </row>
    <row r="34" spans="1:24" x14ac:dyDescent="0.25">
      <c r="A34" s="50" t="s">
        <v>321</v>
      </c>
      <c r="B34" s="51">
        <f>AVERAGEIFS(Data!$H$14:$H$167,Data!$C$14:$C$167,A34,Data!$B$14:$B$167,"Hra")</f>
        <v>21</v>
      </c>
      <c r="C34" s="51">
        <f>IF(ISERR(AVERAGEIFS(Data!$H$14:$H$167,Data!$C$14:$C$167,A34,Data!$B$14:$B$167,"Rozšíření")),0,AVERAGEIFS(Data!$H$14:$H$167,Data!$C$14:$C$167,A34,Data!$B$14:$B$167,"Rozšíření"))</f>
        <v>0</v>
      </c>
      <c r="D34" s="52">
        <f t="shared" si="0"/>
        <v>71.333333333333329</v>
      </c>
      <c r="E34" s="52" t="str">
        <f t="shared" si="1"/>
        <v>-</v>
      </c>
      <c r="F34" s="60" t="str">
        <f t="shared" ca="1" si="2"/>
        <v>0 let</v>
      </c>
      <c r="R34" s="23">
        <f>HLOOKUP("Datum vydání",Data!$A$13:$R$167,MATCH(A34,Data!$C$14:$C$167,0)+1,)</f>
        <v>43172</v>
      </c>
      <c r="S34" s="1">
        <f>IF(ISERR(AVERAGEIFS(Data!$J$14:$J$167,Data!$C$14:$C$167,Výpočty!A34,Data!$B$14:$B$167,"Hra")),"",AVERAGEIFS(Data!$J$14:$J$167,Data!$C$14:$C$167,Výpočty!A34,Data!$B$14:$B$167,"Hra"))</f>
        <v>70</v>
      </c>
      <c r="T34" s="1">
        <f>IF(ISERR(AVERAGEIFS(Data!$K$14:$K$167,Data!$C$14:$C$167,Výpočty!A34,Data!$B$14:$B$167,"Hra")),"",AVERAGEIFS(Data!$K$14:$K$167,Data!$C$14:$C$167,Výpočty!A34,Data!$B$14:$B$167,"Hra"))</f>
        <v>74</v>
      </c>
      <c r="U34" s="1">
        <f>IF(ISERR(AVERAGEIFS(Data!$L$14:$L$167,Data!$C$14:$C$167,Výpočty!A34,Data!$B$14:$B$167,"Hra")),"",AVERAGEIFS(Data!$L$14:$L$167,Data!$C$14:$C$167,Výpočty!A34,Data!$B$14:$B$167,"Hra"))</f>
        <v>70</v>
      </c>
      <c r="V34" s="1" t="str">
        <f>IF(ISERR(AVERAGEIFS(Data!$J$14:$J$167,Data!$C$14:$C$167,Výpočty!A34,Data!$B$14:$B$167,"Rozšíření")),"",AVERAGEIFS(Data!$J$14:$J$167,Data!$C$14:$C$167,Výpočty!A34,Data!$B$14:$B$167,"Rozšíření"))</f>
        <v/>
      </c>
      <c r="W34" s="1" t="str">
        <f>IF(ISERR(AVERAGEIFS(Data!$K$14:$K$167,Data!$C$14:$C$167,Výpočty!A34,Data!$B$14:$B$167,"Rozšíření")),"",AVERAGEIFS(Data!$K$14:$K$167,Data!$C$14:$C$167,Výpočty!A34,Data!$B$14:$B$167,"Rozšíření"))</f>
        <v/>
      </c>
      <c r="X34" s="1" t="str">
        <f>IF(ISERR(AVERAGEIFS(Data!$L$14:$L$167,Data!$C$14:$C$167,Výpočty!A34,Data!$B$14:$B$167,"Rozšíření")),"",AVERAGEIFS(Data!$L$14:$L$167,Data!$C$14:$C$167,Výpočty!A34,Data!$B$14:$B$167,"Rozšíření"))</f>
        <v/>
      </c>
    </row>
    <row r="35" spans="1:24" x14ac:dyDescent="0.25">
      <c r="A35" s="50" t="s">
        <v>44</v>
      </c>
      <c r="B35" s="51">
        <f>AVERAGEIFS(Data!$H$14:$H$167,Data!$C$14:$C$167,A35,Data!$B$14:$B$167,"Hra")</f>
        <v>31.5</v>
      </c>
      <c r="C35" s="51">
        <f>IF(ISERR(AVERAGEIFS(Data!$H$14:$H$167,Data!$C$14:$C$167,A35,Data!$B$14:$B$167,"Rozšíření")),0,AVERAGEIFS(Data!$H$14:$H$167,Data!$C$14:$C$167,A35,Data!$B$14:$B$167,"Rozšíření"))</f>
        <v>0</v>
      </c>
      <c r="D35" s="52">
        <f t="shared" si="0"/>
        <v>88.5</v>
      </c>
      <c r="E35" s="52" t="str">
        <f t="shared" si="1"/>
        <v>-</v>
      </c>
      <c r="F35" s="60" t="str">
        <f t="shared" ca="1" si="2"/>
        <v>0 let</v>
      </c>
      <c r="R35" s="23">
        <f>HLOOKUP("Datum vydání",Data!$A$13:$R$167,MATCH(A35,Data!$C$14:$C$167,0)+1,)</f>
        <v>43162</v>
      </c>
      <c r="S35" s="1">
        <f>IF(ISERR(AVERAGEIFS(Data!$J$14:$J$167,Data!$C$14:$C$167,Výpočty!A35,Data!$B$14:$B$167,"Hra")),"",AVERAGEIFS(Data!$J$14:$J$167,Data!$C$14:$C$167,Výpočty!A35,Data!$B$14:$B$167,"Hra"))</f>
        <v>83</v>
      </c>
      <c r="T35" s="1">
        <f>IF(ISERR(AVERAGEIFS(Data!$K$14:$K$167,Data!$C$14:$C$167,Výpočty!A35,Data!$B$14:$B$167,"Hra")),"",AVERAGEIFS(Data!$K$14:$K$167,Data!$C$14:$C$167,Výpočty!A35,Data!$B$14:$B$167,"Hra"))</f>
        <v>94</v>
      </c>
      <c r="U35" s="1" t="str">
        <f>IF(ISERR(AVERAGEIFS(Data!$L$14:$L$167,Data!$C$14:$C$167,Výpočty!A35,Data!$B$14:$B$167,"Hra")),"",AVERAGEIFS(Data!$L$14:$L$167,Data!$C$14:$C$167,Výpočty!A35,Data!$B$14:$B$167,"Hra"))</f>
        <v/>
      </c>
      <c r="V35" s="1" t="str">
        <f>IF(ISERR(AVERAGEIFS(Data!$J$14:$J$167,Data!$C$14:$C$167,Výpočty!A35,Data!$B$14:$B$167,"Rozšíření")),"",AVERAGEIFS(Data!$J$14:$J$167,Data!$C$14:$C$167,Výpočty!A35,Data!$B$14:$B$167,"Rozšíření"))</f>
        <v/>
      </c>
      <c r="W35" s="1" t="str">
        <f>IF(ISERR(AVERAGEIFS(Data!$K$14:$K$167,Data!$C$14:$C$167,Výpočty!A35,Data!$B$14:$B$167,"Rozšíření")),"",AVERAGEIFS(Data!$K$14:$K$167,Data!$C$14:$C$167,Výpočty!A35,Data!$B$14:$B$167,"Rozšíření"))</f>
        <v/>
      </c>
      <c r="X35" s="1" t="str">
        <f>IF(ISERR(AVERAGEIFS(Data!$L$14:$L$167,Data!$C$14:$C$167,Výpočty!A35,Data!$B$14:$B$167,"Rozšíření")),"",AVERAGEIFS(Data!$L$14:$L$167,Data!$C$14:$C$167,Výpočty!A35,Data!$B$14:$B$167,"Rozšíření"))</f>
        <v/>
      </c>
    </row>
    <row r="36" spans="1:24" x14ac:dyDescent="0.25">
      <c r="A36" s="50" t="s">
        <v>206</v>
      </c>
      <c r="B36" s="51">
        <f>AVERAGEIFS(Data!$H$14:$H$167,Data!$C$14:$C$167,A36,Data!$B$14:$B$167,"Hra")</f>
        <v>39.5</v>
      </c>
      <c r="C36" s="51">
        <f>IF(ISERR(AVERAGEIFS(Data!$H$14:$H$167,Data!$C$14:$C$167,A36,Data!$B$14:$B$167,"Rozšíření")),0,AVERAGEIFS(Data!$H$14:$H$167,Data!$C$14:$C$167,A36,Data!$B$14:$B$167,"Rozšíření"))</f>
        <v>0</v>
      </c>
      <c r="D36" s="52">
        <f t="shared" si="0"/>
        <v>76.666666666666671</v>
      </c>
      <c r="E36" s="52" t="str">
        <f t="shared" si="1"/>
        <v>-</v>
      </c>
      <c r="F36" s="60" t="str">
        <f t="shared" ca="1" si="2"/>
        <v>0 let</v>
      </c>
      <c r="R36" s="23">
        <f>HLOOKUP("Datum vydání",Data!$A$13:$R$167,MATCH(A36,Data!$C$14:$C$167,0)+1,)</f>
        <v>43144</v>
      </c>
      <c r="S36" s="1">
        <f>IF(ISERR(AVERAGEIFS(Data!$J$14:$J$167,Data!$C$14:$C$167,Výpočty!A36,Data!$B$14:$B$167,"Hra")),"",AVERAGEIFS(Data!$J$14:$J$167,Data!$C$14:$C$167,Výpočty!A36,Data!$B$14:$B$167,"Hra"))</f>
        <v>74</v>
      </c>
      <c r="T36" s="1">
        <f>IF(ISERR(AVERAGEIFS(Data!$K$14:$K$167,Data!$C$14:$C$167,Výpočty!A36,Data!$B$14:$B$167,"Hra")),"",AVERAGEIFS(Data!$K$14:$K$167,Data!$C$14:$C$167,Výpočty!A36,Data!$B$14:$B$167,"Hra"))</f>
        <v>76</v>
      </c>
      <c r="U36" s="1">
        <f>IF(ISERR(AVERAGEIFS(Data!$L$14:$L$167,Data!$C$14:$C$167,Výpočty!A36,Data!$B$14:$B$167,"Hra")),"",AVERAGEIFS(Data!$L$14:$L$167,Data!$C$14:$C$167,Výpočty!A36,Data!$B$14:$B$167,"Hra"))</f>
        <v>80</v>
      </c>
      <c r="V36" s="1" t="str">
        <f>IF(ISERR(AVERAGEIFS(Data!$J$14:$J$167,Data!$C$14:$C$167,Výpočty!A36,Data!$B$14:$B$167,"Rozšíření")),"",AVERAGEIFS(Data!$J$14:$J$167,Data!$C$14:$C$167,Výpočty!A36,Data!$B$14:$B$167,"Rozšíření"))</f>
        <v/>
      </c>
      <c r="W36" s="1" t="str">
        <f>IF(ISERR(AVERAGEIFS(Data!$K$14:$K$167,Data!$C$14:$C$167,Výpočty!A36,Data!$B$14:$B$167,"Rozšíření")),"",AVERAGEIFS(Data!$K$14:$K$167,Data!$C$14:$C$167,Výpočty!A36,Data!$B$14:$B$167,"Rozšíření"))</f>
        <v/>
      </c>
      <c r="X36" s="1" t="str">
        <f>IF(ISERR(AVERAGEIFS(Data!$L$14:$L$167,Data!$C$14:$C$167,Výpočty!A36,Data!$B$14:$B$167,"Rozšíření")),"",AVERAGEIFS(Data!$L$14:$L$167,Data!$C$14:$C$167,Výpočty!A36,Data!$B$14:$B$167,"Rozšíření"))</f>
        <v/>
      </c>
    </row>
    <row r="37" spans="1:24" x14ac:dyDescent="0.25">
      <c r="A37" s="50" t="s">
        <v>147</v>
      </c>
      <c r="B37" s="51">
        <f>AVERAGEIFS(Data!$H$14:$H$167,Data!$C$14:$C$167,A37,Data!$B$14:$B$167,"Hra")</f>
        <v>9.5</v>
      </c>
      <c r="C37" s="51">
        <f>IF(ISERR(AVERAGEIFS(Data!$H$14:$H$167,Data!$C$14:$C$167,A37,Data!$B$14:$B$167,"Rozšíření")),0,AVERAGEIFS(Data!$H$14:$H$167,Data!$C$14:$C$167,A37,Data!$B$14:$B$167,"Rozšíření"))</f>
        <v>0</v>
      </c>
      <c r="D37" s="52">
        <f t="shared" si="0"/>
        <v>84.888888888888872</v>
      </c>
      <c r="E37" s="52" t="str">
        <f t="shared" si="1"/>
        <v>-</v>
      </c>
      <c r="F37" s="60" t="str">
        <f t="shared" ca="1" si="2"/>
        <v>1 rok</v>
      </c>
      <c r="R37" s="23">
        <f>HLOOKUP("Datum vydání",Data!$A$13:$R$167,MATCH(A37,Data!$C$14:$C$167,0)+1,)</f>
        <v>43035</v>
      </c>
      <c r="S37" s="1">
        <f>IF(ISERR(AVERAGEIFS(Data!$J$14:$J$167,Data!$C$14:$C$167,Výpočty!A37,Data!$B$14:$B$167,"Hra")),"",AVERAGEIFS(Data!$J$14:$J$167,Data!$C$14:$C$167,Výpočty!A37,Data!$B$14:$B$167,"Hra"))</f>
        <v>82</v>
      </c>
      <c r="T37" s="1">
        <f>IF(ISERR(AVERAGEIFS(Data!$K$14:$K$167,Data!$C$14:$C$167,Výpočty!A37,Data!$B$14:$B$167,"Hra")),"",AVERAGEIFS(Data!$K$14:$K$167,Data!$C$14:$C$167,Výpočty!A37,Data!$B$14:$B$167,"Hra"))</f>
        <v>85.333333333333329</v>
      </c>
      <c r="U37" s="1">
        <f>IF(ISERR(AVERAGEIFS(Data!$L$14:$L$167,Data!$C$14:$C$167,Výpočty!A37,Data!$B$14:$B$167,"Hra")),"",AVERAGEIFS(Data!$L$14:$L$167,Data!$C$14:$C$167,Výpočty!A37,Data!$B$14:$B$167,"Hra"))</f>
        <v>87.333333333333329</v>
      </c>
      <c r="V37" s="1" t="str">
        <f>IF(ISERR(AVERAGEIFS(Data!$J$14:$J$167,Data!$C$14:$C$167,Výpočty!A37,Data!$B$14:$B$167,"Rozšíření")),"",AVERAGEIFS(Data!$J$14:$J$167,Data!$C$14:$C$167,Výpočty!A37,Data!$B$14:$B$167,"Rozšíření"))</f>
        <v/>
      </c>
      <c r="W37" s="1" t="str">
        <f>IF(ISERR(AVERAGEIFS(Data!$K$14:$K$167,Data!$C$14:$C$167,Výpočty!A37,Data!$B$14:$B$167,"Rozšíření")),"",AVERAGEIFS(Data!$K$14:$K$167,Data!$C$14:$C$167,Výpočty!A37,Data!$B$14:$B$167,"Rozšíření"))</f>
        <v/>
      </c>
      <c r="X37" s="1" t="str">
        <f>IF(ISERR(AVERAGEIFS(Data!$L$14:$L$167,Data!$C$14:$C$167,Výpočty!A37,Data!$B$14:$B$167,"Rozšíření")),"",AVERAGEIFS(Data!$L$14:$L$167,Data!$C$14:$C$167,Výpočty!A37,Data!$B$14:$B$167,"Rozšíření"))</f>
        <v/>
      </c>
    </row>
    <row r="38" spans="1:24" x14ac:dyDescent="0.25">
      <c r="A38" s="50" t="s">
        <v>178</v>
      </c>
      <c r="B38" s="51">
        <f>AVERAGEIFS(Data!$H$14:$H$167,Data!$C$14:$C$167,A38,Data!$B$14:$B$167,"Hra")</f>
        <v>14.75</v>
      </c>
      <c r="C38" s="51">
        <f>IF(ISERR(AVERAGEIFS(Data!$H$14:$H$167,Data!$C$14:$C$167,A38,Data!$B$14:$B$167,"Rozšíření")),0,AVERAGEIFS(Data!$H$14:$H$167,Data!$C$14:$C$167,A38,Data!$B$14:$B$167,"Rozšíření"))</f>
        <v>0</v>
      </c>
      <c r="D38" s="52">
        <f t="shared" si="0"/>
        <v>88.5</v>
      </c>
      <c r="E38" s="52" t="str">
        <f t="shared" si="1"/>
        <v>-</v>
      </c>
      <c r="F38" s="60" t="str">
        <f t="shared" ca="1" si="2"/>
        <v>1 rok</v>
      </c>
      <c r="R38" s="23">
        <f>HLOOKUP("Datum vydání",Data!$A$13:$R$167,MATCH(A38,Data!$C$14:$C$167,0)+1,)</f>
        <v>43021</v>
      </c>
      <c r="S38" s="1">
        <f>IF(ISERR(AVERAGEIFS(Data!$J$14:$J$167,Data!$C$14:$C$167,Výpočty!A38,Data!$B$14:$B$167,"Hra")),"",AVERAGEIFS(Data!$J$14:$J$167,Data!$C$14:$C$167,Výpočty!A38,Data!$B$14:$B$167,"Hra"))</f>
        <v>85.5</v>
      </c>
      <c r="T38" s="1">
        <f>IF(ISERR(AVERAGEIFS(Data!$K$14:$K$167,Data!$C$14:$C$167,Výpočty!A38,Data!$B$14:$B$167,"Hra")),"",AVERAGEIFS(Data!$K$14:$K$167,Data!$C$14:$C$167,Výpočty!A38,Data!$B$14:$B$167,"Hra"))</f>
        <v>90</v>
      </c>
      <c r="U38" s="1">
        <f>IF(ISERR(AVERAGEIFS(Data!$L$14:$L$167,Data!$C$14:$C$167,Výpočty!A38,Data!$B$14:$B$167,"Hra")),"",AVERAGEIFS(Data!$L$14:$L$167,Data!$C$14:$C$167,Výpočty!A38,Data!$B$14:$B$167,"Hra"))</f>
        <v>90</v>
      </c>
      <c r="V38" s="1" t="str">
        <f>IF(ISERR(AVERAGEIFS(Data!$J$14:$J$167,Data!$C$14:$C$167,Výpočty!A38,Data!$B$14:$B$167,"Rozšíření")),"",AVERAGEIFS(Data!$J$14:$J$167,Data!$C$14:$C$167,Výpočty!A38,Data!$B$14:$B$167,"Rozšíření"))</f>
        <v/>
      </c>
      <c r="W38" s="1" t="str">
        <f>IF(ISERR(AVERAGEIFS(Data!$K$14:$K$167,Data!$C$14:$C$167,Výpočty!A38,Data!$B$14:$B$167,"Rozšíření")),"",AVERAGEIFS(Data!$K$14:$K$167,Data!$C$14:$C$167,Výpočty!A38,Data!$B$14:$B$167,"Rozšíření"))</f>
        <v/>
      </c>
      <c r="X38" s="1" t="str">
        <f>IF(ISERR(AVERAGEIFS(Data!$L$14:$L$167,Data!$C$14:$C$167,Výpočty!A38,Data!$B$14:$B$167,"Rozšíření")),"",AVERAGEIFS(Data!$L$14:$L$167,Data!$C$14:$C$167,Výpočty!A38,Data!$B$14:$B$167,"Rozšíření"))</f>
        <v/>
      </c>
    </row>
    <row r="39" spans="1:24" x14ac:dyDescent="0.25">
      <c r="A39" s="50" t="s">
        <v>96</v>
      </c>
      <c r="B39" s="51">
        <f>AVERAGEIFS(Data!$H$14:$H$167,Data!$C$14:$C$167,A39,Data!$B$14:$B$167,"Hra")</f>
        <v>18.25</v>
      </c>
      <c r="C39" s="51">
        <f>IF(ISERR(AVERAGEIFS(Data!$H$14:$H$167,Data!$C$14:$C$167,A39,Data!$B$14:$B$167,"Rozšíření")),0,AVERAGEIFS(Data!$H$14:$H$167,Data!$C$14:$C$167,A39,Data!$B$14:$B$167,"Rozšíření"))</f>
        <v>0</v>
      </c>
      <c r="D39" s="52">
        <f t="shared" si="0"/>
        <v>84.333333333333329</v>
      </c>
      <c r="E39" s="52" t="str">
        <f t="shared" si="1"/>
        <v>-</v>
      </c>
      <c r="F39" s="60" t="str">
        <f t="shared" ca="1" si="2"/>
        <v>1 rok</v>
      </c>
      <c r="R39" s="23">
        <f>HLOOKUP("Datum vydání",Data!$A$13:$R$167,MATCH(A39,Data!$C$14:$C$167,0)+1,)</f>
        <v>43018</v>
      </c>
      <c r="S39" s="1">
        <f>IF(ISERR(AVERAGEIFS(Data!$J$14:$J$167,Data!$C$14:$C$167,Výpočty!A39,Data!$B$14:$B$167,"Hra")),"",AVERAGEIFS(Data!$J$14:$J$167,Data!$C$14:$C$167,Výpočty!A39,Data!$B$14:$B$167,"Hra"))</f>
        <v>84</v>
      </c>
      <c r="T39" s="1">
        <f>IF(ISERR(AVERAGEIFS(Data!$K$14:$K$167,Data!$C$14:$C$167,Výpočty!A39,Data!$B$14:$B$167,"Hra")),"",AVERAGEIFS(Data!$K$14:$K$167,Data!$C$14:$C$167,Výpočty!A39,Data!$B$14:$B$167,"Hra"))</f>
        <v>80</v>
      </c>
      <c r="U39" s="1">
        <f>IF(ISERR(AVERAGEIFS(Data!$L$14:$L$167,Data!$C$14:$C$167,Výpočty!A39,Data!$B$14:$B$167,"Hra")),"",AVERAGEIFS(Data!$L$14:$L$167,Data!$C$14:$C$167,Výpočty!A39,Data!$B$14:$B$167,"Hra"))</f>
        <v>89</v>
      </c>
      <c r="V39" s="1" t="str">
        <f>IF(ISERR(AVERAGEIFS(Data!$J$14:$J$167,Data!$C$14:$C$167,Výpočty!A39,Data!$B$14:$B$167,"Rozšíření")),"",AVERAGEIFS(Data!$J$14:$J$167,Data!$C$14:$C$167,Výpočty!A39,Data!$B$14:$B$167,"Rozšíření"))</f>
        <v/>
      </c>
      <c r="W39" s="1" t="str">
        <f>IF(ISERR(AVERAGEIFS(Data!$K$14:$K$167,Data!$C$14:$C$167,Výpočty!A39,Data!$B$14:$B$167,"Rozšíření")),"",AVERAGEIFS(Data!$K$14:$K$167,Data!$C$14:$C$167,Výpočty!A39,Data!$B$14:$B$167,"Rozšíření"))</f>
        <v/>
      </c>
      <c r="X39" s="1" t="str">
        <f>IF(ISERR(AVERAGEIFS(Data!$L$14:$L$167,Data!$C$14:$C$167,Výpočty!A39,Data!$B$14:$B$167,"Rozšíření")),"",AVERAGEIFS(Data!$L$14:$L$167,Data!$C$14:$C$167,Výpočty!A39,Data!$B$14:$B$167,"Rozšíření"))</f>
        <v/>
      </c>
    </row>
    <row r="40" spans="1:24" x14ac:dyDescent="0.25">
      <c r="A40" s="50" t="s">
        <v>288</v>
      </c>
      <c r="B40" s="51">
        <f>AVERAGEIFS(Data!$H$14:$H$167,Data!$C$14:$C$167,A40,Data!$B$14:$B$167,"Hra")</f>
        <v>27</v>
      </c>
      <c r="C40" s="51">
        <f>IF(ISERR(AVERAGEIFS(Data!$H$14:$H$167,Data!$C$14:$C$167,A40,Data!$B$14:$B$167,"Rozšíření")),0,AVERAGEIFS(Data!$H$14:$H$167,Data!$C$14:$C$167,A40,Data!$B$14:$B$167,"Rozšíření"))</f>
        <v>0</v>
      </c>
      <c r="D40" s="52">
        <f t="shared" si="0"/>
        <v>93</v>
      </c>
      <c r="E40" s="52" t="str">
        <f t="shared" si="1"/>
        <v>-</v>
      </c>
      <c r="F40" s="60" t="str">
        <f t="shared" ca="1" si="2"/>
        <v>1 rok</v>
      </c>
      <c r="R40" s="23">
        <f>HLOOKUP("Datum vydání",Data!$A$13:$R$167,MATCH(A40,Data!$C$14:$C$167,0)+1,)</f>
        <v>43011</v>
      </c>
      <c r="S40" s="1">
        <f>IF(ISERR(AVERAGEIFS(Data!$J$14:$J$167,Data!$C$14:$C$167,Výpočty!A40,Data!$B$14:$B$167,"Hra")),"",AVERAGEIFS(Data!$J$14:$J$167,Data!$C$14:$C$167,Výpočty!A40,Data!$B$14:$B$167,"Hra"))</f>
        <v>96</v>
      </c>
      <c r="T40" s="1">
        <f>IF(ISERR(AVERAGEIFS(Data!$K$14:$K$167,Data!$C$14:$C$167,Výpočty!A40,Data!$B$14:$B$167,"Hra")),"",AVERAGEIFS(Data!$K$14:$K$167,Data!$C$14:$C$167,Výpočty!A40,Data!$B$14:$B$167,"Hra"))</f>
        <v>90</v>
      </c>
      <c r="U40" s="1" t="str">
        <f>IF(ISERR(AVERAGEIFS(Data!$L$14:$L$167,Data!$C$14:$C$167,Výpočty!A40,Data!$B$14:$B$167,"Hra")),"",AVERAGEIFS(Data!$L$14:$L$167,Data!$C$14:$C$167,Výpočty!A40,Data!$B$14:$B$167,"Hra"))</f>
        <v/>
      </c>
      <c r="V40" s="1" t="str">
        <f>IF(ISERR(AVERAGEIFS(Data!$J$14:$J$167,Data!$C$14:$C$167,Výpočty!A40,Data!$B$14:$B$167,"Rozšíření")),"",AVERAGEIFS(Data!$J$14:$J$167,Data!$C$14:$C$167,Výpočty!A40,Data!$B$14:$B$167,"Rozšíření"))</f>
        <v/>
      </c>
      <c r="W40" s="1" t="str">
        <f>IF(ISERR(AVERAGEIFS(Data!$K$14:$K$167,Data!$C$14:$C$167,Výpočty!A40,Data!$B$14:$B$167,"Rozšíření")),"",AVERAGEIFS(Data!$K$14:$K$167,Data!$C$14:$C$167,Výpočty!A40,Data!$B$14:$B$167,"Rozšíření"))</f>
        <v/>
      </c>
      <c r="X40" s="1" t="str">
        <f>IF(ISERR(AVERAGEIFS(Data!$L$14:$L$167,Data!$C$14:$C$167,Výpočty!A40,Data!$B$14:$B$167,"Rozšíření")),"",AVERAGEIFS(Data!$L$14:$L$167,Data!$C$14:$C$167,Výpočty!A40,Data!$B$14:$B$167,"Rozšíření"))</f>
        <v/>
      </c>
    </row>
    <row r="41" spans="1:24" x14ac:dyDescent="0.25">
      <c r="A41" s="50" t="s">
        <v>139</v>
      </c>
      <c r="B41" s="51">
        <f>AVERAGEIFS(Data!$H$14:$H$167,Data!$C$14:$C$167,A41,Data!$B$14:$B$167,"Hra")</f>
        <v>9</v>
      </c>
      <c r="C41" s="51">
        <f>IF(ISERR(AVERAGEIFS(Data!$H$14:$H$167,Data!$C$14:$C$167,A41,Data!$B$14:$B$167,"Rozšíření")),0,AVERAGEIFS(Data!$H$14:$H$167,Data!$C$14:$C$167,A41,Data!$B$14:$B$167,"Rozšíření"))</f>
        <v>0</v>
      </c>
      <c r="D41" s="52">
        <f t="shared" si="0"/>
        <v>90.5</v>
      </c>
      <c r="E41" s="52" t="str">
        <f t="shared" si="1"/>
        <v>-</v>
      </c>
      <c r="F41" s="60" t="str">
        <f t="shared" ca="1" si="2"/>
        <v>1 rok</v>
      </c>
      <c r="R41" s="23">
        <f>HLOOKUP("Datum vydání",Data!$A$13:$R$167,MATCH(A41,Data!$C$14:$C$167,0)+1,)</f>
        <v>43007</v>
      </c>
      <c r="S41" s="1">
        <f>IF(ISERR(AVERAGEIFS(Data!$J$14:$J$167,Data!$C$14:$C$167,Výpočty!A41,Data!$B$14:$B$167,"Hra")),"",AVERAGEIFS(Data!$J$14:$J$167,Data!$C$14:$C$167,Výpočty!A41,Data!$B$14:$B$167,"Hra"))</f>
        <v>95</v>
      </c>
      <c r="T41" s="1">
        <f>IF(ISERR(AVERAGEIFS(Data!$K$14:$K$167,Data!$C$14:$C$167,Výpočty!A41,Data!$B$14:$B$167,"Hra")),"",AVERAGEIFS(Data!$K$14:$K$167,Data!$C$14:$C$167,Výpočty!A41,Data!$B$14:$B$167,"Hra"))</f>
        <v>86</v>
      </c>
      <c r="U41" s="1" t="str">
        <f>IF(ISERR(AVERAGEIFS(Data!$L$14:$L$167,Data!$C$14:$C$167,Výpočty!A41,Data!$B$14:$B$167,"Hra")),"",AVERAGEIFS(Data!$L$14:$L$167,Data!$C$14:$C$167,Výpočty!A41,Data!$B$14:$B$167,"Hra"))</f>
        <v/>
      </c>
      <c r="V41" s="1" t="str">
        <f>IF(ISERR(AVERAGEIFS(Data!$J$14:$J$167,Data!$C$14:$C$167,Výpočty!A41,Data!$B$14:$B$167,"Rozšíření")),"",AVERAGEIFS(Data!$J$14:$J$167,Data!$C$14:$C$167,Výpočty!A41,Data!$B$14:$B$167,"Rozšíření"))</f>
        <v/>
      </c>
      <c r="W41" s="1" t="str">
        <f>IF(ISERR(AVERAGEIFS(Data!$K$14:$K$167,Data!$C$14:$C$167,Výpočty!A41,Data!$B$14:$B$167,"Rozšíření")),"",AVERAGEIFS(Data!$K$14:$K$167,Data!$C$14:$C$167,Výpočty!A41,Data!$B$14:$B$167,"Rozšíření"))</f>
        <v/>
      </c>
      <c r="X41" s="1" t="str">
        <f>IF(ISERR(AVERAGEIFS(Data!$L$14:$L$167,Data!$C$14:$C$167,Výpočty!A41,Data!$B$14:$B$167,"Rozšíření")),"",AVERAGEIFS(Data!$L$14:$L$167,Data!$C$14:$C$167,Výpočty!A41,Data!$B$14:$B$167,"Rozšíření"))</f>
        <v/>
      </c>
    </row>
    <row r="42" spans="1:24" x14ac:dyDescent="0.25">
      <c r="A42" s="50" t="s">
        <v>241</v>
      </c>
      <c r="B42" s="51">
        <f>AVERAGEIFS(Data!$H$14:$H$167,Data!$C$14:$C$167,A42,Data!$B$14:$B$167,"Hra")</f>
        <v>3</v>
      </c>
      <c r="C42" s="51">
        <f>IF(ISERR(AVERAGEIFS(Data!$H$14:$H$167,Data!$C$14:$C$167,A42,Data!$B$14:$B$167,"Rozšíření")),0,AVERAGEIFS(Data!$H$14:$H$167,Data!$C$14:$C$167,A42,Data!$B$14:$B$167,"Rozšíření"))</f>
        <v>0</v>
      </c>
      <c r="D42" s="52">
        <f t="shared" si="0"/>
        <v>89.5</v>
      </c>
      <c r="E42" s="52" t="str">
        <f t="shared" si="1"/>
        <v>-</v>
      </c>
      <c r="F42" s="60" t="str">
        <f t="shared" ca="1" si="2"/>
        <v>1 rok</v>
      </c>
      <c r="R42" s="23">
        <f>HLOOKUP("Datum vydání",Data!$A$13:$R$167,MATCH(A42,Data!$C$14:$C$167,0)+1,)</f>
        <v>42978</v>
      </c>
      <c r="S42" s="1">
        <f>IF(ISERR(AVERAGEIFS(Data!$J$14:$J$167,Data!$C$14:$C$167,Výpočty!A42,Data!$B$14:$B$167,"Hra")),"",AVERAGEIFS(Data!$J$14:$J$167,Data!$C$14:$C$167,Výpočty!A42,Data!$B$14:$B$167,"Hra"))</f>
        <v>91</v>
      </c>
      <c r="T42" s="1" t="str">
        <f>IF(ISERR(AVERAGEIFS(Data!$K$14:$K$167,Data!$C$14:$C$167,Výpočty!A42,Data!$B$14:$B$167,"Hra")),"",AVERAGEIFS(Data!$K$14:$K$167,Data!$C$14:$C$167,Výpočty!A42,Data!$B$14:$B$167,"Hra"))</f>
        <v/>
      </c>
      <c r="U42" s="1">
        <f>IF(ISERR(AVERAGEIFS(Data!$L$14:$L$167,Data!$C$14:$C$167,Výpočty!A42,Data!$B$14:$B$167,"Hra")),"",AVERAGEIFS(Data!$L$14:$L$167,Data!$C$14:$C$167,Výpočty!A42,Data!$B$14:$B$167,"Hra"))</f>
        <v>88</v>
      </c>
      <c r="V42" s="1" t="str">
        <f>IF(ISERR(AVERAGEIFS(Data!$J$14:$J$167,Data!$C$14:$C$167,Výpočty!A42,Data!$B$14:$B$167,"Rozšíření")),"",AVERAGEIFS(Data!$J$14:$J$167,Data!$C$14:$C$167,Výpočty!A42,Data!$B$14:$B$167,"Rozšíření"))</f>
        <v/>
      </c>
      <c r="W42" s="1" t="str">
        <f>IF(ISERR(AVERAGEIFS(Data!$K$14:$K$167,Data!$C$14:$C$167,Výpočty!A42,Data!$B$14:$B$167,"Rozšíření")),"",AVERAGEIFS(Data!$K$14:$K$167,Data!$C$14:$C$167,Výpočty!A42,Data!$B$14:$B$167,"Rozšíření"))</f>
        <v/>
      </c>
      <c r="X42" s="1" t="str">
        <f>IF(ISERR(AVERAGEIFS(Data!$L$14:$L$167,Data!$C$14:$C$167,Výpočty!A42,Data!$B$14:$B$167,"Rozšíření")),"",AVERAGEIFS(Data!$L$14:$L$167,Data!$C$14:$C$167,Výpočty!A42,Data!$B$14:$B$167,"Rozšíření"))</f>
        <v/>
      </c>
    </row>
    <row r="43" spans="1:24" x14ac:dyDescent="0.25">
      <c r="A43" s="50" t="s">
        <v>195</v>
      </c>
      <c r="B43" s="51">
        <f>AVERAGEIFS(Data!$H$14:$H$167,Data!$C$14:$C$167,A43,Data!$B$14:$B$167,"Hra")</f>
        <v>12.5</v>
      </c>
      <c r="C43" s="51">
        <f>IF(ISERR(AVERAGEIFS(Data!$H$14:$H$167,Data!$C$14:$C$167,A43,Data!$B$14:$B$167,"Rozšíření")),0,AVERAGEIFS(Data!$H$14:$H$167,Data!$C$14:$C$167,A43,Data!$B$14:$B$167,"Rozšíření"))</f>
        <v>0</v>
      </c>
      <c r="D43" s="52">
        <f t="shared" si="0"/>
        <v>98.666666666666671</v>
      </c>
      <c r="E43" s="52" t="str">
        <f t="shared" si="1"/>
        <v>-</v>
      </c>
      <c r="F43" s="60" t="str">
        <f t="shared" ca="1" si="2"/>
        <v>1 rok</v>
      </c>
      <c r="R43" s="23">
        <f>HLOOKUP("Datum vydání",Data!$A$13:$R$167,MATCH(A43,Data!$C$14:$C$167,0)+1,)</f>
        <v>42969</v>
      </c>
      <c r="S43" s="1" t="str">
        <f>IF(ISERR(AVERAGEIFS(Data!$J$14:$J$167,Data!$C$14:$C$167,Výpočty!A43,Data!$B$14:$B$167,"Hra")),"",AVERAGEIFS(Data!$J$14:$J$167,Data!$C$14:$C$167,Výpočty!A43,Data!$B$14:$B$167,"Hra"))</f>
        <v/>
      </c>
      <c r="T43" s="1" t="str">
        <f>IF(ISERR(AVERAGEIFS(Data!$K$14:$K$167,Data!$C$14:$C$167,Výpočty!A43,Data!$B$14:$B$167,"Hra")),"",AVERAGEIFS(Data!$K$14:$K$167,Data!$C$14:$C$167,Výpočty!A43,Data!$B$14:$B$167,"Hra"))</f>
        <v/>
      </c>
      <c r="U43" s="1">
        <f>IF(ISERR(AVERAGEIFS(Data!$L$14:$L$167,Data!$C$14:$C$167,Výpočty!A43,Data!$B$14:$B$167,"Hra")),"",AVERAGEIFS(Data!$L$14:$L$167,Data!$C$14:$C$167,Výpočty!A43,Data!$B$14:$B$167,"Hra"))</f>
        <v>98.666666666666671</v>
      </c>
      <c r="V43" s="1" t="str">
        <f>IF(ISERR(AVERAGEIFS(Data!$J$14:$J$167,Data!$C$14:$C$167,Výpočty!A43,Data!$B$14:$B$167,"Rozšíření")),"",AVERAGEIFS(Data!$J$14:$J$167,Data!$C$14:$C$167,Výpočty!A43,Data!$B$14:$B$167,"Rozšíření"))</f>
        <v/>
      </c>
      <c r="W43" s="1" t="str">
        <f>IF(ISERR(AVERAGEIFS(Data!$K$14:$K$167,Data!$C$14:$C$167,Výpočty!A43,Data!$B$14:$B$167,"Rozšíření")),"",AVERAGEIFS(Data!$K$14:$K$167,Data!$C$14:$C$167,Výpočty!A43,Data!$B$14:$B$167,"Rozšíření"))</f>
        <v/>
      </c>
      <c r="X43" s="1" t="str">
        <f>IF(ISERR(AVERAGEIFS(Data!$L$14:$L$167,Data!$C$14:$C$167,Výpočty!A43,Data!$B$14:$B$167,"Rozšíření")),"",AVERAGEIFS(Data!$L$14:$L$167,Data!$C$14:$C$167,Výpočty!A43,Data!$B$14:$B$167,"Rozšíření"))</f>
        <v/>
      </c>
    </row>
    <row r="44" spans="1:24" x14ac:dyDescent="0.25">
      <c r="A44" s="50" t="s">
        <v>280</v>
      </c>
      <c r="B44" s="51">
        <f>AVERAGEIFS(Data!$H$14:$H$167,Data!$C$14:$C$167,A44,Data!$B$14:$B$167,"Hra")</f>
        <v>6.5</v>
      </c>
      <c r="C44" s="51">
        <f>IF(ISERR(AVERAGEIFS(Data!$H$14:$H$167,Data!$C$14:$C$167,A44,Data!$B$14:$B$167,"Rozšíření")),0,AVERAGEIFS(Data!$H$14:$H$167,Data!$C$14:$C$167,A44,Data!$B$14:$B$167,"Rozšíření"))</f>
        <v>0</v>
      </c>
      <c r="D44" s="52">
        <f t="shared" si="0"/>
        <v>82.666666666666671</v>
      </c>
      <c r="E44" s="52" t="str">
        <f t="shared" si="1"/>
        <v>-</v>
      </c>
      <c r="F44" s="60" t="str">
        <f t="shared" ca="1" si="2"/>
        <v>1 rok</v>
      </c>
      <c r="R44" s="23">
        <f>HLOOKUP("Datum vydání",Data!$A$13:$R$167,MATCH(A44,Data!$C$14:$C$167,0)+1,)</f>
        <v>42962</v>
      </c>
      <c r="S44" s="1">
        <f>IF(ISERR(AVERAGEIFS(Data!$J$14:$J$167,Data!$C$14:$C$167,Výpočty!A44,Data!$B$14:$B$167,"Hra")),"",AVERAGEIFS(Data!$J$14:$J$167,Data!$C$14:$C$167,Výpočty!A44,Data!$B$14:$B$167,"Hra"))</f>
        <v>82</v>
      </c>
      <c r="T44" s="1">
        <f>IF(ISERR(AVERAGEIFS(Data!$K$14:$K$167,Data!$C$14:$C$167,Výpočty!A44,Data!$B$14:$B$167,"Hra")),"",AVERAGEIFS(Data!$K$14:$K$167,Data!$C$14:$C$167,Výpočty!A44,Data!$B$14:$B$167,"Hra"))</f>
        <v>76</v>
      </c>
      <c r="U44" s="1">
        <f>IF(ISERR(AVERAGEIFS(Data!$L$14:$L$167,Data!$C$14:$C$167,Výpočty!A44,Data!$B$14:$B$167,"Hra")),"",AVERAGEIFS(Data!$L$14:$L$167,Data!$C$14:$C$167,Výpočty!A44,Data!$B$14:$B$167,"Hra"))</f>
        <v>90</v>
      </c>
      <c r="V44" s="1" t="str">
        <f>IF(ISERR(AVERAGEIFS(Data!$J$14:$J$167,Data!$C$14:$C$167,Výpočty!A44,Data!$B$14:$B$167,"Rozšíření")),"",AVERAGEIFS(Data!$J$14:$J$167,Data!$C$14:$C$167,Výpočty!A44,Data!$B$14:$B$167,"Rozšíření"))</f>
        <v/>
      </c>
      <c r="W44" s="1" t="str">
        <f>IF(ISERR(AVERAGEIFS(Data!$K$14:$K$167,Data!$C$14:$C$167,Výpočty!A44,Data!$B$14:$B$167,"Rozšíření")),"",AVERAGEIFS(Data!$K$14:$K$167,Data!$C$14:$C$167,Výpočty!A44,Data!$B$14:$B$167,"Rozšíření"))</f>
        <v/>
      </c>
      <c r="X44" s="1" t="str">
        <f>IF(ISERR(AVERAGEIFS(Data!$L$14:$L$167,Data!$C$14:$C$167,Výpočty!A44,Data!$B$14:$B$167,"Rozšíření")),"",AVERAGEIFS(Data!$L$14:$L$167,Data!$C$14:$C$167,Výpočty!A44,Data!$B$14:$B$167,"Rozšíření"))</f>
        <v/>
      </c>
    </row>
    <row r="45" spans="1:24" x14ac:dyDescent="0.25">
      <c r="A45" s="50" t="s">
        <v>143</v>
      </c>
      <c r="B45" s="51">
        <f>AVERAGEIFS(Data!$H$14:$H$167,Data!$C$14:$C$167,A45,Data!$B$14:$B$167,"Hra")</f>
        <v>7</v>
      </c>
      <c r="C45" s="51">
        <f>IF(ISERR(AVERAGEIFS(Data!$H$14:$H$167,Data!$C$14:$C$167,A45,Data!$B$14:$B$167,"Rozšíření")),0,AVERAGEIFS(Data!$H$14:$H$167,Data!$C$14:$C$167,A45,Data!$B$14:$B$167,"Rozšíření"))</f>
        <v>0</v>
      </c>
      <c r="D45" s="52">
        <f t="shared" si="0"/>
        <v>91.666666666666671</v>
      </c>
      <c r="E45" s="52" t="str">
        <f t="shared" si="1"/>
        <v>-</v>
      </c>
      <c r="F45" s="60" t="str">
        <f t="shared" ca="1" si="2"/>
        <v>1 rok</v>
      </c>
      <c r="R45" s="23">
        <f>HLOOKUP("Datum vydání",Data!$A$13:$R$167,MATCH(A45,Data!$C$14:$C$167,0)+1,)</f>
        <v>42955</v>
      </c>
      <c r="S45" s="1">
        <f>IF(ISERR(AVERAGEIFS(Data!$J$14:$J$167,Data!$C$14:$C$167,Výpočty!A45,Data!$B$14:$B$167,"Hra")),"",AVERAGEIFS(Data!$J$14:$J$167,Data!$C$14:$C$167,Výpočty!A45,Data!$B$14:$B$167,"Hra"))</f>
        <v>91</v>
      </c>
      <c r="T45" s="1">
        <f>IF(ISERR(AVERAGEIFS(Data!$K$14:$K$167,Data!$C$14:$C$167,Výpočty!A45,Data!$B$14:$B$167,"Hra")),"",AVERAGEIFS(Data!$K$14:$K$167,Data!$C$14:$C$167,Výpočty!A45,Data!$B$14:$B$167,"Hra"))</f>
        <v>94</v>
      </c>
      <c r="U45" s="1">
        <f>IF(ISERR(AVERAGEIFS(Data!$L$14:$L$167,Data!$C$14:$C$167,Výpočty!A45,Data!$B$14:$B$167,"Hra")),"",AVERAGEIFS(Data!$L$14:$L$167,Data!$C$14:$C$167,Výpočty!A45,Data!$B$14:$B$167,"Hra"))</f>
        <v>90</v>
      </c>
      <c r="V45" s="1" t="str">
        <f>IF(ISERR(AVERAGEIFS(Data!$J$14:$J$167,Data!$C$14:$C$167,Výpočty!A45,Data!$B$14:$B$167,"Rozšíření")),"",AVERAGEIFS(Data!$J$14:$J$167,Data!$C$14:$C$167,Výpočty!A45,Data!$B$14:$B$167,"Rozšíření"))</f>
        <v/>
      </c>
      <c r="W45" s="1" t="str">
        <f>IF(ISERR(AVERAGEIFS(Data!$K$14:$K$167,Data!$C$14:$C$167,Výpočty!A45,Data!$B$14:$B$167,"Rozšíření")),"",AVERAGEIFS(Data!$K$14:$K$167,Data!$C$14:$C$167,Výpočty!A45,Data!$B$14:$B$167,"Rozšíření"))</f>
        <v/>
      </c>
      <c r="X45" s="1" t="str">
        <f>IF(ISERR(AVERAGEIFS(Data!$L$14:$L$167,Data!$C$14:$C$167,Výpočty!A45,Data!$B$14:$B$167,"Rozšíření")),"",AVERAGEIFS(Data!$L$14:$L$167,Data!$C$14:$C$167,Výpočty!A45,Data!$B$14:$B$167,"Rozšíření"))</f>
        <v/>
      </c>
    </row>
    <row r="46" spans="1:24" x14ac:dyDescent="0.25">
      <c r="A46" s="50" t="s">
        <v>181</v>
      </c>
      <c r="B46" s="51">
        <f>AVERAGEIFS(Data!$H$14:$H$167,Data!$C$14:$C$167,A46,Data!$B$14:$B$167,"Hra")</f>
        <v>54</v>
      </c>
      <c r="C46" s="51">
        <f>IF(ISERR(AVERAGEIFS(Data!$H$14:$H$167,Data!$C$14:$C$167,A46,Data!$B$14:$B$167,"Rozšíření")),0,AVERAGEIFS(Data!$H$14:$H$167,Data!$C$14:$C$167,A46,Data!$B$14:$B$167,"Rozšíření"))</f>
        <v>12</v>
      </c>
      <c r="D46" s="52">
        <f t="shared" si="0"/>
        <v>89.666666666666671</v>
      </c>
      <c r="E46" s="52">
        <f t="shared" si="1"/>
        <v>84.333333333333329</v>
      </c>
      <c r="F46" s="60" t="str">
        <f t="shared" ca="1" si="2"/>
        <v>1 rok</v>
      </c>
      <c r="R46" s="23">
        <f>HLOOKUP("Datum vydání",Data!$A$13:$R$167,MATCH(A46,Data!$C$14:$C$167,0)+1,)</f>
        <v>42905</v>
      </c>
      <c r="S46" s="1">
        <f>IF(ISERR(AVERAGEIFS(Data!$J$14:$J$167,Data!$C$14:$C$167,Výpočty!A46,Data!$B$14:$B$167,"Hra")),"",AVERAGEIFS(Data!$J$14:$J$167,Data!$C$14:$C$167,Výpočty!A46,Data!$B$14:$B$167,"Hra"))</f>
        <v>85</v>
      </c>
      <c r="T46" s="1">
        <f>IF(ISERR(AVERAGEIFS(Data!$K$14:$K$167,Data!$C$14:$C$167,Výpočty!A46,Data!$B$14:$B$167,"Hra")),"",AVERAGEIFS(Data!$K$14:$K$167,Data!$C$14:$C$167,Výpočty!A46,Data!$B$14:$B$167,"Hra"))</f>
        <v>94</v>
      </c>
      <c r="U46" s="1">
        <f>IF(ISERR(AVERAGEIFS(Data!$L$14:$L$167,Data!$C$14:$C$167,Výpočty!A46,Data!$B$14:$B$167,"Hra")),"",AVERAGEIFS(Data!$L$14:$L$167,Data!$C$14:$C$167,Výpočty!A46,Data!$B$14:$B$167,"Hra"))</f>
        <v>90</v>
      </c>
      <c r="V46" s="1">
        <f>IF(ISERR(AVERAGEIFS(Data!$J$14:$J$167,Data!$C$14:$C$167,Výpočty!A46,Data!$B$14:$B$167,"Rozšíření")),"",AVERAGEIFS(Data!$J$14:$J$167,Data!$C$14:$C$167,Výpočty!A46,Data!$B$14:$B$167,"Rozšíření"))</f>
        <v>67</v>
      </c>
      <c r="W46" s="1">
        <f>IF(ISERR(AVERAGEIFS(Data!$K$14:$K$167,Data!$C$14:$C$167,Výpočty!A46,Data!$B$14:$B$167,"Rozšíření")),"",AVERAGEIFS(Data!$K$14:$K$167,Data!$C$14:$C$167,Výpočty!A46,Data!$B$14:$B$167,"Rozšíření"))</f>
        <v>88</v>
      </c>
      <c r="X46" s="1">
        <f>IF(ISERR(AVERAGEIFS(Data!$L$14:$L$167,Data!$C$14:$C$167,Výpočty!A46,Data!$B$14:$B$167,"Rozšíření")),"",AVERAGEIFS(Data!$L$14:$L$167,Data!$C$14:$C$167,Výpočty!A46,Data!$B$14:$B$167,"Rozšíření"))</f>
        <v>98</v>
      </c>
    </row>
    <row r="47" spans="1:24" x14ac:dyDescent="0.25">
      <c r="A47" s="50" t="s">
        <v>235</v>
      </c>
      <c r="B47" s="51">
        <f>AVERAGEIFS(Data!$H$14:$H$167,Data!$C$14:$C$167,A47,Data!$B$14:$B$167,"Hra")</f>
        <v>20.5</v>
      </c>
      <c r="C47" s="51">
        <f>IF(ISERR(AVERAGEIFS(Data!$H$14:$H$167,Data!$C$14:$C$167,A47,Data!$B$14:$B$167,"Rozšíření")),0,AVERAGEIFS(Data!$H$14:$H$167,Data!$C$14:$C$167,A47,Data!$B$14:$B$167,"Rozšíření"))</f>
        <v>0</v>
      </c>
      <c r="D47" s="52">
        <f t="shared" si="0"/>
        <v>76</v>
      </c>
      <c r="E47" s="52" t="str">
        <f t="shared" si="1"/>
        <v>-</v>
      </c>
      <c r="F47" s="60" t="str">
        <f t="shared" ca="1" si="2"/>
        <v>1 rok</v>
      </c>
      <c r="R47" s="23">
        <f>HLOOKUP("Datum vydání",Data!$A$13:$R$167,MATCH(A47,Data!$C$14:$C$167,0)+1,)</f>
        <v>42870</v>
      </c>
      <c r="S47" s="1">
        <f>IF(ISERR(AVERAGEIFS(Data!$J$14:$J$167,Data!$C$14:$C$167,Výpočty!A47,Data!$B$14:$B$167,"Hra")),"",AVERAGEIFS(Data!$J$14:$J$167,Data!$C$14:$C$167,Výpočty!A47,Data!$B$14:$B$167,"Hra"))</f>
        <v>74</v>
      </c>
      <c r="T47" s="1">
        <f>IF(ISERR(AVERAGEIFS(Data!$K$14:$K$167,Data!$C$14:$C$167,Výpočty!A47,Data!$B$14:$B$167,"Hra")),"",AVERAGEIFS(Data!$K$14:$K$167,Data!$C$14:$C$167,Výpočty!A47,Data!$B$14:$B$167,"Hra"))</f>
        <v>74</v>
      </c>
      <c r="U47" s="1">
        <f>IF(ISERR(AVERAGEIFS(Data!$L$14:$L$167,Data!$C$14:$C$167,Výpočty!A47,Data!$B$14:$B$167,"Hra")),"",AVERAGEIFS(Data!$L$14:$L$167,Data!$C$14:$C$167,Výpočty!A47,Data!$B$14:$B$167,"Hra"))</f>
        <v>80</v>
      </c>
      <c r="V47" s="1" t="str">
        <f>IF(ISERR(AVERAGEIFS(Data!$J$14:$J$167,Data!$C$14:$C$167,Výpočty!A47,Data!$B$14:$B$167,"Rozšíření")),"",AVERAGEIFS(Data!$J$14:$J$167,Data!$C$14:$C$167,Výpočty!A47,Data!$B$14:$B$167,"Rozšíření"))</f>
        <v/>
      </c>
      <c r="W47" s="1" t="str">
        <f>IF(ISERR(AVERAGEIFS(Data!$K$14:$K$167,Data!$C$14:$C$167,Výpočty!A47,Data!$B$14:$B$167,"Rozšíření")),"",AVERAGEIFS(Data!$K$14:$K$167,Data!$C$14:$C$167,Výpočty!A47,Data!$B$14:$B$167,"Rozšíření"))</f>
        <v/>
      </c>
      <c r="X47" s="1" t="str">
        <f>IF(ISERR(AVERAGEIFS(Data!$L$14:$L$167,Data!$C$14:$C$167,Výpočty!A47,Data!$B$14:$B$167,"Rozšíření")),"",AVERAGEIFS(Data!$L$14:$L$167,Data!$C$14:$C$167,Výpočty!A47,Data!$B$14:$B$167,"Rozšíření"))</f>
        <v/>
      </c>
    </row>
    <row r="48" spans="1:24" x14ac:dyDescent="0.25">
      <c r="A48" s="50" t="s">
        <v>310</v>
      </c>
      <c r="B48" s="51">
        <f>AVERAGEIFS(Data!$H$14:$H$167,Data!$C$14:$C$167,A48,Data!$B$14:$B$167,"Hra")</f>
        <v>11</v>
      </c>
      <c r="C48" s="51">
        <f>IF(ISERR(AVERAGEIFS(Data!$H$14:$H$167,Data!$C$14:$C$167,A48,Data!$B$14:$B$167,"Rozšíření")),0,AVERAGEIFS(Data!$H$14:$H$167,Data!$C$14:$C$167,A48,Data!$B$14:$B$167,"Rozšíření"))</f>
        <v>0</v>
      </c>
      <c r="D48" s="52">
        <f t="shared" si="0"/>
        <v>95</v>
      </c>
      <c r="E48" s="52" t="str">
        <f t="shared" si="1"/>
        <v>-</v>
      </c>
      <c r="F48" s="60" t="str">
        <f t="shared" ca="1" si="2"/>
        <v>1 rok</v>
      </c>
      <c r="R48" s="23">
        <f>HLOOKUP("Datum vydání",Data!$A$13:$R$167,MATCH(A48,Data!$C$14:$C$167,0)+1,)</f>
        <v>42855</v>
      </c>
      <c r="S48" s="1">
        <f>IF(ISERR(AVERAGEIFS(Data!$J$14:$J$167,Data!$C$14:$C$167,Výpočty!A48,Data!$B$14:$B$167,"Hra")),"",AVERAGEIFS(Data!$J$14:$J$167,Data!$C$14:$C$167,Výpočty!A48,Data!$B$14:$B$167,"Hra"))</f>
        <v>93</v>
      </c>
      <c r="T48" s="1">
        <f>IF(ISERR(AVERAGEIFS(Data!$K$14:$K$167,Data!$C$14:$C$167,Výpočty!A48,Data!$B$14:$B$167,"Hra")),"",AVERAGEIFS(Data!$K$14:$K$167,Data!$C$14:$C$167,Výpočty!A48,Data!$B$14:$B$167,"Hra"))</f>
        <v>94</v>
      </c>
      <c r="U48" s="1">
        <f>IF(ISERR(AVERAGEIFS(Data!$L$14:$L$167,Data!$C$14:$C$167,Výpočty!A48,Data!$B$14:$B$167,"Hra")),"",AVERAGEIFS(Data!$L$14:$L$167,Data!$C$14:$C$167,Výpočty!A48,Data!$B$14:$B$167,"Hra"))</f>
        <v>98</v>
      </c>
      <c r="V48" s="1" t="str">
        <f>IF(ISERR(AVERAGEIFS(Data!$J$14:$J$167,Data!$C$14:$C$167,Výpočty!A48,Data!$B$14:$B$167,"Rozšíření")),"",AVERAGEIFS(Data!$J$14:$J$167,Data!$C$14:$C$167,Výpočty!A48,Data!$B$14:$B$167,"Rozšíření"))</f>
        <v/>
      </c>
      <c r="W48" s="1" t="str">
        <f>IF(ISERR(AVERAGEIFS(Data!$K$14:$K$167,Data!$C$14:$C$167,Výpočty!A48,Data!$B$14:$B$167,"Rozšíření")),"",AVERAGEIFS(Data!$K$14:$K$167,Data!$C$14:$C$167,Výpočty!A48,Data!$B$14:$B$167,"Rozšíření"))</f>
        <v/>
      </c>
      <c r="X48" s="1" t="str">
        <f>IF(ISERR(AVERAGEIFS(Data!$L$14:$L$167,Data!$C$14:$C$167,Výpočty!A48,Data!$B$14:$B$167,"Rozšíření")),"",AVERAGEIFS(Data!$L$14:$L$167,Data!$C$14:$C$167,Výpočty!A48,Data!$B$14:$B$167,"Rozšíření"))</f>
        <v/>
      </c>
    </row>
    <row r="49" spans="1:24" x14ac:dyDescent="0.25">
      <c r="A49" s="50" t="s">
        <v>343</v>
      </c>
      <c r="B49" s="51">
        <f>AVERAGEIFS(Data!$H$14:$H$167,Data!$C$14:$C$167,A49,Data!$B$14:$B$167,"Hra")</f>
        <v>20.5</v>
      </c>
      <c r="C49" s="51">
        <f>IF(ISERR(AVERAGEIFS(Data!$H$14:$H$167,Data!$C$14:$C$167,A49,Data!$B$14:$B$167,"Rozšíření")),0,AVERAGEIFS(Data!$H$14:$H$167,Data!$C$14:$C$167,A49,Data!$B$14:$B$167,"Rozšíření"))</f>
        <v>0</v>
      </c>
      <c r="D49" s="52">
        <f t="shared" si="0"/>
        <v>93.333333333333329</v>
      </c>
      <c r="E49" s="52" t="str">
        <f t="shared" si="1"/>
        <v>-</v>
      </c>
      <c r="F49" s="60" t="str">
        <f t="shared" ca="1" si="2"/>
        <v>1 rok</v>
      </c>
      <c r="R49" s="23">
        <f>HLOOKUP("Datum vydání",Data!$A$13:$R$167,MATCH(A49,Data!$C$14:$C$167,0)+1,)</f>
        <v>42832</v>
      </c>
      <c r="S49" s="1">
        <f>IF(ISERR(AVERAGEIFS(Data!$J$14:$J$167,Data!$C$14:$C$167,Výpočty!A49,Data!$B$14:$B$167,"Hra")),"",AVERAGEIFS(Data!$J$14:$J$167,Data!$C$14:$C$167,Výpočty!A49,Data!$B$14:$B$167,"Hra"))</f>
        <v>84</v>
      </c>
      <c r="T49" s="1">
        <f>IF(ISERR(AVERAGEIFS(Data!$K$14:$K$167,Data!$C$14:$C$167,Výpočty!A49,Data!$B$14:$B$167,"Hra")),"",AVERAGEIFS(Data!$K$14:$K$167,Data!$C$14:$C$167,Výpočty!A49,Data!$B$14:$B$167,"Hra"))</f>
        <v>98</v>
      </c>
      <c r="U49" s="1">
        <f>IF(ISERR(AVERAGEIFS(Data!$L$14:$L$167,Data!$C$14:$C$167,Výpočty!A49,Data!$B$14:$B$167,"Hra")),"",AVERAGEIFS(Data!$L$14:$L$167,Data!$C$14:$C$167,Výpočty!A49,Data!$B$14:$B$167,"Hra"))</f>
        <v>98</v>
      </c>
      <c r="V49" s="1" t="str">
        <f>IF(ISERR(AVERAGEIFS(Data!$J$14:$J$167,Data!$C$14:$C$167,Výpočty!A49,Data!$B$14:$B$167,"Rozšíření")),"",AVERAGEIFS(Data!$J$14:$J$167,Data!$C$14:$C$167,Výpočty!A49,Data!$B$14:$B$167,"Rozšíření"))</f>
        <v/>
      </c>
      <c r="W49" s="1" t="str">
        <f>IF(ISERR(AVERAGEIFS(Data!$K$14:$K$167,Data!$C$14:$C$167,Výpočty!A49,Data!$B$14:$B$167,"Rozšíření")),"",AVERAGEIFS(Data!$K$14:$K$167,Data!$C$14:$C$167,Výpočty!A49,Data!$B$14:$B$167,"Rozšíření"))</f>
        <v/>
      </c>
      <c r="X49" s="1" t="str">
        <f>IF(ISERR(AVERAGEIFS(Data!$L$14:$L$167,Data!$C$14:$C$167,Výpočty!A49,Data!$B$14:$B$167,"Rozšíření")),"",AVERAGEIFS(Data!$L$14:$L$167,Data!$C$14:$C$167,Výpočty!A49,Data!$B$14:$B$167,"Rozšíření"))</f>
        <v/>
      </c>
    </row>
    <row r="50" spans="1:24" x14ac:dyDescent="0.25">
      <c r="A50" s="50" t="s">
        <v>63</v>
      </c>
      <c r="B50" s="51">
        <f>AVERAGEIFS(Data!$H$14:$H$167,Data!$C$14:$C$167,A50,Data!$B$14:$B$167,"Hra")</f>
        <v>47</v>
      </c>
      <c r="C50" s="51">
        <f>IF(ISERR(AVERAGEIFS(Data!$H$14:$H$167,Data!$C$14:$C$167,A50,Data!$B$14:$B$167,"Rozšíření")),0,AVERAGEIFS(Data!$H$14:$H$167,Data!$C$14:$C$167,A50,Data!$B$14:$B$167,"Rozšíření"))</f>
        <v>0</v>
      </c>
      <c r="D50" s="52" t="str">
        <f t="shared" si="0"/>
        <v>-</v>
      </c>
      <c r="E50" s="52" t="str">
        <f t="shared" si="1"/>
        <v>-</v>
      </c>
      <c r="F50" s="60" t="str">
        <f t="shared" ca="1" si="2"/>
        <v>1 rok</v>
      </c>
      <c r="R50" s="23">
        <f>HLOOKUP("Datum vydání",Data!$A$13:$R$167,MATCH(A50,Data!$C$14:$C$167,0)+1,)</f>
        <v>42828</v>
      </c>
      <c r="S50" s="1" t="str">
        <f>IF(ISERR(AVERAGEIFS(Data!$J$14:$J$167,Data!$C$14:$C$167,Výpočty!A50,Data!$B$14:$B$167,"Hra")),"",AVERAGEIFS(Data!$J$14:$J$167,Data!$C$14:$C$167,Výpočty!A50,Data!$B$14:$B$167,"Hra"))</f>
        <v/>
      </c>
      <c r="T50" s="1" t="str">
        <f>IF(ISERR(AVERAGEIFS(Data!$K$14:$K$167,Data!$C$14:$C$167,Výpočty!A50,Data!$B$14:$B$167,"Hra")),"",AVERAGEIFS(Data!$K$14:$K$167,Data!$C$14:$C$167,Výpočty!A50,Data!$B$14:$B$167,"Hra"))</f>
        <v/>
      </c>
      <c r="U50" s="1" t="str">
        <f>IF(ISERR(AVERAGEIFS(Data!$L$14:$L$167,Data!$C$14:$C$167,Výpočty!A50,Data!$B$14:$B$167,"Hra")),"",AVERAGEIFS(Data!$L$14:$L$167,Data!$C$14:$C$167,Výpočty!A50,Data!$B$14:$B$167,"Hra"))</f>
        <v/>
      </c>
      <c r="V50" s="1" t="str">
        <f>IF(ISERR(AVERAGEIFS(Data!$J$14:$J$167,Data!$C$14:$C$167,Výpočty!A50,Data!$B$14:$B$167,"Rozšíření")),"",AVERAGEIFS(Data!$J$14:$J$167,Data!$C$14:$C$167,Výpočty!A50,Data!$B$14:$B$167,"Rozšíření"))</f>
        <v/>
      </c>
      <c r="W50" s="1" t="str">
        <f>IF(ISERR(AVERAGEIFS(Data!$K$14:$K$167,Data!$C$14:$C$167,Výpočty!A50,Data!$B$14:$B$167,"Rozšíření")),"",AVERAGEIFS(Data!$K$14:$K$167,Data!$C$14:$C$167,Výpočty!A50,Data!$B$14:$B$167,"Rozšíření"))</f>
        <v/>
      </c>
      <c r="X50" s="1" t="str">
        <f>IF(ISERR(AVERAGEIFS(Data!$L$14:$L$167,Data!$C$14:$C$167,Výpočty!A50,Data!$B$14:$B$167,"Rozšíření")),"",AVERAGEIFS(Data!$L$14:$L$167,Data!$C$14:$C$167,Výpočty!A50,Data!$B$14:$B$167,"Rozšíření"))</f>
        <v/>
      </c>
    </row>
    <row r="51" spans="1:24" x14ac:dyDescent="0.25">
      <c r="A51" s="50" t="s">
        <v>217</v>
      </c>
      <c r="B51" s="51">
        <f>AVERAGEIFS(Data!$H$14:$H$167,Data!$C$14:$C$167,A51,Data!$B$14:$B$167,"Hra")</f>
        <v>3.5</v>
      </c>
      <c r="C51" s="51">
        <f>IF(ISERR(AVERAGEIFS(Data!$H$14:$H$167,Data!$C$14:$C$167,A51,Data!$B$14:$B$167,"Rozšíření")),0,AVERAGEIFS(Data!$H$14:$H$167,Data!$C$14:$C$167,A51,Data!$B$14:$B$167,"Rozšíření"))</f>
        <v>0</v>
      </c>
      <c r="D51" s="52">
        <f t="shared" si="0"/>
        <v>90</v>
      </c>
      <c r="E51" s="52" t="str">
        <f t="shared" si="1"/>
        <v>-</v>
      </c>
      <c r="F51" s="60" t="str">
        <f t="shared" ca="1" si="2"/>
        <v>1 rok</v>
      </c>
      <c r="R51" s="23">
        <f>HLOOKUP("Datum vydání",Data!$A$13:$R$167,MATCH(A51,Data!$C$14:$C$167,0)+1,)</f>
        <v>42822</v>
      </c>
      <c r="S51" s="1">
        <f>IF(ISERR(AVERAGEIFS(Data!$J$14:$J$167,Data!$C$14:$C$167,Výpočty!A51,Data!$B$14:$B$167,"Hra")),"",AVERAGEIFS(Data!$J$14:$J$167,Data!$C$14:$C$167,Výpočty!A51,Data!$B$14:$B$167,"Hra"))</f>
        <v>88</v>
      </c>
      <c r="T51" s="1">
        <f>IF(ISERR(AVERAGEIFS(Data!$K$14:$K$167,Data!$C$14:$C$167,Výpočty!A51,Data!$B$14:$B$167,"Hra")),"",AVERAGEIFS(Data!$K$14:$K$167,Data!$C$14:$C$167,Výpočty!A51,Data!$B$14:$B$167,"Hra"))</f>
        <v>92</v>
      </c>
      <c r="U51" s="1">
        <f>IF(ISERR(AVERAGEIFS(Data!$L$14:$L$167,Data!$C$14:$C$167,Výpočty!A51,Data!$B$14:$B$167,"Hra")),"",AVERAGEIFS(Data!$L$14:$L$167,Data!$C$14:$C$167,Výpočty!A51,Data!$B$14:$B$167,"Hra"))</f>
        <v>90</v>
      </c>
      <c r="V51" s="1" t="str">
        <f>IF(ISERR(AVERAGEIFS(Data!$J$14:$J$167,Data!$C$14:$C$167,Výpočty!A51,Data!$B$14:$B$167,"Rozšíření")),"",AVERAGEIFS(Data!$J$14:$J$167,Data!$C$14:$C$167,Výpočty!A51,Data!$B$14:$B$167,"Rozšíření"))</f>
        <v/>
      </c>
      <c r="W51" s="1" t="str">
        <f>IF(ISERR(AVERAGEIFS(Data!$K$14:$K$167,Data!$C$14:$C$167,Výpočty!A51,Data!$B$14:$B$167,"Rozšíření")),"",AVERAGEIFS(Data!$K$14:$K$167,Data!$C$14:$C$167,Výpočty!A51,Data!$B$14:$B$167,"Rozšíření"))</f>
        <v/>
      </c>
      <c r="X51" s="1" t="str">
        <f>IF(ISERR(AVERAGEIFS(Data!$L$14:$L$167,Data!$C$14:$C$167,Výpočty!A51,Data!$B$14:$B$167,"Rozšíření")),"",AVERAGEIFS(Data!$L$14:$L$167,Data!$C$14:$C$167,Výpočty!A51,Data!$B$14:$B$167,"Rozšíření"))</f>
        <v/>
      </c>
    </row>
    <row r="52" spans="1:24" x14ac:dyDescent="0.25">
      <c r="A52" s="50" t="s">
        <v>188</v>
      </c>
      <c r="B52" s="51">
        <f>AVERAGEIFS(Data!$H$14:$H$167,Data!$C$14:$C$167,A52,Data!$B$14:$B$167,"Hra")</f>
        <v>2</v>
      </c>
      <c r="C52" s="51">
        <f>IF(ISERR(AVERAGEIFS(Data!$H$14:$H$167,Data!$C$14:$C$167,A52,Data!$B$14:$B$167,"Rozšíření")),0,AVERAGEIFS(Data!$H$14:$H$167,Data!$C$14:$C$167,A52,Data!$B$14:$B$167,"Rozšíření"))</f>
        <v>0</v>
      </c>
      <c r="D52" s="52">
        <f t="shared" si="0"/>
        <v>96.333333333333329</v>
      </c>
      <c r="E52" s="52" t="str">
        <f t="shared" si="1"/>
        <v>-</v>
      </c>
      <c r="F52" s="60" t="str">
        <f t="shared" ca="1" si="2"/>
        <v>1 rok</v>
      </c>
      <c r="R52" s="23">
        <f>HLOOKUP("Datum vydání",Data!$A$13:$R$167,MATCH(A52,Data!$C$14:$C$167,0)+1,)</f>
        <v>42819</v>
      </c>
      <c r="S52" s="1">
        <f>IF(ISERR(AVERAGEIFS(Data!$J$14:$J$167,Data!$C$14:$C$167,Výpočty!A52,Data!$B$14:$B$167,"Hra")),"",AVERAGEIFS(Data!$J$14:$J$167,Data!$C$14:$C$167,Výpočty!A52,Data!$B$14:$B$167,"Hra"))</f>
        <v>95</v>
      </c>
      <c r="T52" s="1">
        <f>IF(ISERR(AVERAGEIFS(Data!$K$14:$K$167,Data!$C$14:$C$167,Výpočty!A52,Data!$B$14:$B$167,"Hra")),"",AVERAGEIFS(Data!$K$14:$K$167,Data!$C$14:$C$167,Výpočty!A52,Data!$B$14:$B$167,"Hra"))</f>
        <v>94</v>
      </c>
      <c r="U52" s="1">
        <f>IF(ISERR(AVERAGEIFS(Data!$L$14:$L$167,Data!$C$14:$C$167,Výpočty!A52,Data!$B$14:$B$167,"Hra")),"",AVERAGEIFS(Data!$L$14:$L$167,Data!$C$14:$C$167,Výpočty!A52,Data!$B$14:$B$167,"Hra"))</f>
        <v>100</v>
      </c>
      <c r="V52" s="1" t="str">
        <f>IF(ISERR(AVERAGEIFS(Data!$J$14:$J$167,Data!$C$14:$C$167,Výpočty!A52,Data!$B$14:$B$167,"Rozšíření")),"",AVERAGEIFS(Data!$J$14:$J$167,Data!$C$14:$C$167,Výpočty!A52,Data!$B$14:$B$167,"Rozšíření"))</f>
        <v/>
      </c>
      <c r="W52" s="1" t="str">
        <f>IF(ISERR(AVERAGEIFS(Data!$K$14:$K$167,Data!$C$14:$C$167,Výpočty!A52,Data!$B$14:$B$167,"Rozšíření")),"",AVERAGEIFS(Data!$K$14:$K$167,Data!$C$14:$C$167,Výpočty!A52,Data!$B$14:$B$167,"Rozšíření"))</f>
        <v/>
      </c>
      <c r="X52" s="1" t="str">
        <f>IF(ISERR(AVERAGEIFS(Data!$L$14:$L$167,Data!$C$14:$C$167,Výpočty!A52,Data!$B$14:$B$167,"Rozšíření")),"",AVERAGEIFS(Data!$L$14:$L$167,Data!$C$14:$C$167,Výpočty!A52,Data!$B$14:$B$167,"Rozšíření"))</f>
        <v/>
      </c>
    </row>
    <row r="53" spans="1:24" x14ac:dyDescent="0.25">
      <c r="A53" s="50" t="s">
        <v>360</v>
      </c>
      <c r="B53" s="51">
        <f>AVERAGEIFS(Data!$H$14:$H$167,Data!$C$14:$C$167,A53,Data!$B$14:$B$167,"Hra")</f>
        <v>97</v>
      </c>
      <c r="C53" s="51">
        <f>IF(ISERR(AVERAGEIFS(Data!$H$14:$H$167,Data!$C$14:$C$167,A53,Data!$B$14:$B$167,"Rozšíření")),0,AVERAGEIFS(Data!$H$14:$H$167,Data!$C$14:$C$167,A53,Data!$B$14:$B$167,"Rozšíření"))</f>
        <v>0</v>
      </c>
      <c r="D53" s="52">
        <f t="shared" si="0"/>
        <v>98</v>
      </c>
      <c r="E53" s="52" t="str">
        <f t="shared" si="1"/>
        <v>-</v>
      </c>
      <c r="F53" s="60" t="str">
        <f t="shared" ca="1" si="2"/>
        <v>1 rok</v>
      </c>
      <c r="R53" s="23">
        <f>HLOOKUP("Datum vydání",Data!$A$13:$R$167,MATCH(A53,Data!$C$14:$C$167,0)+1,)</f>
        <v>42798</v>
      </c>
      <c r="S53" s="1" t="str">
        <f>IF(ISERR(AVERAGEIFS(Data!$J$14:$J$167,Data!$C$14:$C$167,Výpočty!A53,Data!$B$14:$B$167,"Hra")),"",AVERAGEIFS(Data!$J$14:$J$167,Data!$C$14:$C$167,Výpočty!A53,Data!$B$14:$B$167,"Hra"))</f>
        <v/>
      </c>
      <c r="T53" s="1" t="str">
        <f>IF(ISERR(AVERAGEIFS(Data!$K$14:$K$167,Data!$C$14:$C$167,Výpočty!A53,Data!$B$14:$B$167,"Hra")),"",AVERAGEIFS(Data!$K$14:$K$167,Data!$C$14:$C$167,Výpočty!A53,Data!$B$14:$B$167,"Hra"))</f>
        <v/>
      </c>
      <c r="U53" s="1">
        <f>IF(ISERR(AVERAGEIFS(Data!$L$14:$L$167,Data!$C$14:$C$167,Výpočty!A53,Data!$B$14:$B$167,"Hra")),"",AVERAGEIFS(Data!$L$14:$L$167,Data!$C$14:$C$167,Výpočty!A53,Data!$B$14:$B$167,"Hra"))</f>
        <v>98</v>
      </c>
      <c r="V53" s="1" t="str">
        <f>IF(ISERR(AVERAGEIFS(Data!$J$14:$J$167,Data!$C$14:$C$167,Výpočty!A53,Data!$B$14:$B$167,"Rozšíření")),"",AVERAGEIFS(Data!$J$14:$J$167,Data!$C$14:$C$167,Výpočty!A53,Data!$B$14:$B$167,"Rozšíření"))</f>
        <v/>
      </c>
      <c r="W53" s="1" t="str">
        <f>IF(ISERR(AVERAGEIFS(Data!$K$14:$K$167,Data!$C$14:$C$167,Výpočty!A53,Data!$B$14:$B$167,"Rozšíření")),"",AVERAGEIFS(Data!$K$14:$K$167,Data!$C$14:$C$167,Výpočty!A53,Data!$B$14:$B$167,"Rozšíření"))</f>
        <v/>
      </c>
      <c r="X53" s="1" t="str">
        <f>IF(ISERR(AVERAGEIFS(Data!$L$14:$L$167,Data!$C$14:$C$167,Výpočty!A53,Data!$B$14:$B$167,"Rozšíření")),"",AVERAGEIFS(Data!$L$14:$L$167,Data!$C$14:$C$167,Výpočty!A53,Data!$B$14:$B$167,"Rozšíření"))</f>
        <v/>
      </c>
    </row>
    <row r="54" spans="1:24" x14ac:dyDescent="0.25">
      <c r="A54" s="50" t="s">
        <v>59</v>
      </c>
      <c r="B54" s="51">
        <f>AVERAGEIFS(Data!$H$14:$H$167,Data!$C$14:$C$167,A54,Data!$B$14:$B$167,"Hra")</f>
        <v>22</v>
      </c>
      <c r="C54" s="51">
        <f>IF(ISERR(AVERAGEIFS(Data!$H$14:$H$167,Data!$C$14:$C$167,A54,Data!$B$14:$B$167,"Rozšíření")),0,AVERAGEIFS(Data!$H$14:$H$167,Data!$C$14:$C$167,A54,Data!$B$14:$B$167,"Rozšíření"))</f>
        <v>0</v>
      </c>
      <c r="D54" s="52">
        <f t="shared" si="0"/>
        <v>95.666666666666671</v>
      </c>
      <c r="E54" s="52" t="str">
        <f t="shared" si="1"/>
        <v>-</v>
      </c>
      <c r="F54" s="60" t="str">
        <f t="shared" ca="1" si="2"/>
        <v>1 rok</v>
      </c>
      <c r="R54" s="23">
        <f>HLOOKUP("Datum vydání",Data!$A$13:$R$167,MATCH(A54,Data!$C$14:$C$167,0)+1,)</f>
        <v>42790</v>
      </c>
      <c r="S54" s="1">
        <f>IF(ISERR(AVERAGEIFS(Data!$J$14:$J$167,Data!$C$14:$C$167,Výpočty!A54,Data!$B$14:$B$167,"Hra")),"",AVERAGEIFS(Data!$J$14:$J$167,Data!$C$14:$C$167,Výpočty!A54,Data!$B$14:$B$167,"Hra"))</f>
        <v>95</v>
      </c>
      <c r="T54" s="1">
        <f>IF(ISERR(AVERAGEIFS(Data!$K$14:$K$167,Data!$C$14:$C$167,Výpočty!A54,Data!$B$14:$B$167,"Hra")),"",AVERAGEIFS(Data!$K$14:$K$167,Data!$C$14:$C$167,Výpočty!A54,Data!$B$14:$B$167,"Hra"))</f>
        <v>94</v>
      </c>
      <c r="U54" s="1">
        <f>IF(ISERR(AVERAGEIFS(Data!$L$14:$L$167,Data!$C$14:$C$167,Výpočty!A54,Data!$B$14:$B$167,"Hra")),"",AVERAGEIFS(Data!$L$14:$L$167,Data!$C$14:$C$167,Výpočty!A54,Data!$B$14:$B$167,"Hra"))</f>
        <v>98</v>
      </c>
      <c r="V54" s="1" t="str">
        <f>IF(ISERR(AVERAGEIFS(Data!$J$14:$J$167,Data!$C$14:$C$167,Výpočty!A54,Data!$B$14:$B$167,"Rozšíření")),"",AVERAGEIFS(Data!$J$14:$J$167,Data!$C$14:$C$167,Výpočty!A54,Data!$B$14:$B$167,"Rozšíření"))</f>
        <v/>
      </c>
      <c r="W54" s="1" t="str">
        <f>IF(ISERR(AVERAGEIFS(Data!$K$14:$K$167,Data!$C$14:$C$167,Výpočty!A54,Data!$B$14:$B$167,"Rozšíření")),"",AVERAGEIFS(Data!$K$14:$K$167,Data!$C$14:$C$167,Výpočty!A54,Data!$B$14:$B$167,"Rozšíření"))</f>
        <v/>
      </c>
      <c r="X54" s="1" t="str">
        <f>IF(ISERR(AVERAGEIFS(Data!$L$14:$L$167,Data!$C$14:$C$167,Výpočty!A54,Data!$B$14:$B$167,"Rozšíření")),"",AVERAGEIFS(Data!$L$14:$L$167,Data!$C$14:$C$167,Výpočty!A54,Data!$B$14:$B$167,"Rozšíření"))</f>
        <v/>
      </c>
    </row>
    <row r="55" spans="1:24" ht="24" x14ac:dyDescent="0.25">
      <c r="A55" s="50" t="s">
        <v>266</v>
      </c>
      <c r="B55" s="51">
        <f>AVERAGEIFS(Data!$H$14:$H$167,Data!$C$14:$C$167,A55,Data!$B$14:$B$167,"Hra")</f>
        <v>10.5</v>
      </c>
      <c r="C55" s="51">
        <f>IF(ISERR(AVERAGEIFS(Data!$H$14:$H$167,Data!$C$14:$C$167,A55,Data!$B$14:$B$167,"Rozšíření")),0,AVERAGEIFS(Data!$H$14:$H$167,Data!$C$14:$C$167,A55,Data!$B$14:$B$167,"Rozšíření"))</f>
        <v>0</v>
      </c>
      <c r="D55" s="52">
        <f t="shared" si="0"/>
        <v>67.666666666666671</v>
      </c>
      <c r="E55" s="52" t="str">
        <f t="shared" si="1"/>
        <v>-</v>
      </c>
      <c r="F55" s="60" t="str">
        <f t="shared" ca="1" si="2"/>
        <v>2 roky</v>
      </c>
      <c r="R55" s="23">
        <f>HLOOKUP("Datum vydání",Data!$A$13:$R$167,MATCH(A55,Data!$C$14:$C$167,0)+1,)</f>
        <v>42710</v>
      </c>
      <c r="S55" s="1">
        <f>IF(ISERR(AVERAGEIFS(Data!$J$14:$J$167,Data!$C$14:$C$167,Výpočty!A55,Data!$B$14:$B$167,"Hra")),"",AVERAGEIFS(Data!$J$14:$J$167,Data!$C$14:$C$167,Výpočty!A55,Data!$B$14:$B$167,"Hra"))</f>
        <v>49</v>
      </c>
      <c r="T55" s="1">
        <f>IF(ISERR(AVERAGEIFS(Data!$K$14:$K$167,Data!$C$14:$C$167,Výpočty!A55,Data!$B$14:$B$167,"Hra")),"",AVERAGEIFS(Data!$K$14:$K$167,Data!$C$14:$C$167,Výpočty!A55,Data!$B$14:$B$167,"Hra"))</f>
        <v>64</v>
      </c>
      <c r="U55" s="1">
        <f>IF(ISERR(AVERAGEIFS(Data!$L$14:$L$167,Data!$C$14:$C$167,Výpočty!A55,Data!$B$14:$B$167,"Hra")),"",AVERAGEIFS(Data!$L$14:$L$167,Data!$C$14:$C$167,Výpočty!A55,Data!$B$14:$B$167,"Hra"))</f>
        <v>90</v>
      </c>
      <c r="V55" s="1" t="str">
        <f>IF(ISERR(AVERAGEIFS(Data!$J$14:$J$167,Data!$C$14:$C$167,Výpočty!A55,Data!$B$14:$B$167,"Rozšíření")),"",AVERAGEIFS(Data!$J$14:$J$167,Data!$C$14:$C$167,Výpočty!A55,Data!$B$14:$B$167,"Rozšíření"))</f>
        <v/>
      </c>
      <c r="W55" s="1" t="str">
        <f>IF(ISERR(AVERAGEIFS(Data!$K$14:$K$167,Data!$C$14:$C$167,Výpočty!A55,Data!$B$14:$B$167,"Rozšíření")),"",AVERAGEIFS(Data!$K$14:$K$167,Data!$C$14:$C$167,Výpočty!A55,Data!$B$14:$B$167,"Rozšíření"))</f>
        <v/>
      </c>
      <c r="X55" s="1" t="str">
        <f>IF(ISERR(AVERAGEIFS(Data!$L$14:$L$167,Data!$C$14:$C$167,Výpočty!A55,Data!$B$14:$B$167,"Rozšíření")),"",AVERAGEIFS(Data!$L$14:$L$167,Data!$C$14:$C$167,Výpočty!A55,Data!$B$14:$B$167,"Rozšíření"))</f>
        <v/>
      </c>
    </row>
    <row r="56" spans="1:24" ht="24" x14ac:dyDescent="0.25">
      <c r="A56" s="50" t="s">
        <v>134</v>
      </c>
      <c r="B56" s="51">
        <f>AVERAGEIFS(Data!$H$14:$H$167,Data!$C$14:$C$167,A56,Data!$B$14:$B$167,"Hra")</f>
        <v>26.5</v>
      </c>
      <c r="C56" s="51">
        <f>IF(ISERR(AVERAGEIFS(Data!$H$14:$H$167,Data!$C$14:$C$167,A56,Data!$B$14:$B$167,"Rozšíření")),0,AVERAGEIFS(Data!$H$14:$H$167,Data!$C$14:$C$167,A56,Data!$B$14:$B$167,"Rozšíření"))</f>
        <v>0</v>
      </c>
      <c r="D56" s="52">
        <f t="shared" si="0"/>
        <v>81.333333333333329</v>
      </c>
      <c r="E56" s="52" t="str">
        <f t="shared" si="1"/>
        <v>-</v>
      </c>
      <c r="F56" s="60" t="str">
        <f t="shared" ca="1" si="2"/>
        <v>2 roky</v>
      </c>
      <c r="R56" s="23">
        <f>HLOOKUP("Datum vydání",Data!$A$13:$R$167,MATCH(A56,Data!$C$14:$C$167,0)+1,)</f>
        <v>42703</v>
      </c>
      <c r="S56" s="1">
        <f>IF(ISERR(AVERAGEIFS(Data!$J$14:$J$167,Data!$C$14:$C$167,Výpočty!A56,Data!$B$14:$B$167,"Hra")),"",AVERAGEIFS(Data!$J$14:$J$167,Data!$C$14:$C$167,Výpočty!A56,Data!$B$14:$B$167,"Hra"))</f>
        <v>78</v>
      </c>
      <c r="T56" s="1">
        <f>IF(ISERR(AVERAGEIFS(Data!$K$14:$K$167,Data!$C$14:$C$167,Výpočty!A56,Data!$B$14:$B$167,"Hra")),"",AVERAGEIFS(Data!$K$14:$K$167,Data!$C$14:$C$167,Výpočty!A56,Data!$B$14:$B$167,"Hra"))</f>
        <v>76</v>
      </c>
      <c r="U56" s="1">
        <f>IF(ISERR(AVERAGEIFS(Data!$L$14:$L$167,Data!$C$14:$C$167,Výpočty!A56,Data!$B$14:$B$167,"Hra")),"",AVERAGEIFS(Data!$L$14:$L$167,Data!$C$14:$C$167,Výpočty!A56,Data!$B$14:$B$167,"Hra"))</f>
        <v>90</v>
      </c>
      <c r="V56" s="1" t="str">
        <f>IF(ISERR(AVERAGEIFS(Data!$J$14:$J$167,Data!$C$14:$C$167,Výpočty!A56,Data!$B$14:$B$167,"Rozšíření")),"",AVERAGEIFS(Data!$J$14:$J$167,Data!$C$14:$C$167,Výpočty!A56,Data!$B$14:$B$167,"Rozšíření"))</f>
        <v/>
      </c>
      <c r="W56" s="1" t="str">
        <f>IF(ISERR(AVERAGEIFS(Data!$K$14:$K$167,Data!$C$14:$C$167,Výpočty!A56,Data!$B$14:$B$167,"Rozšíření")),"",AVERAGEIFS(Data!$K$14:$K$167,Data!$C$14:$C$167,Výpočty!A56,Data!$B$14:$B$167,"Rozšíření"))</f>
        <v/>
      </c>
      <c r="X56" s="1" t="str">
        <f>IF(ISERR(AVERAGEIFS(Data!$L$14:$L$167,Data!$C$14:$C$167,Výpočty!A56,Data!$B$14:$B$167,"Rozšíření")),"",AVERAGEIFS(Data!$L$14:$L$167,Data!$C$14:$C$167,Výpočty!A56,Data!$B$14:$B$167,"Rozšíření"))</f>
        <v/>
      </c>
    </row>
    <row r="57" spans="1:24" x14ac:dyDescent="0.25">
      <c r="A57" s="50" t="s">
        <v>223</v>
      </c>
      <c r="B57" s="51">
        <f>AVERAGEIFS(Data!$H$14:$H$167,Data!$C$14:$C$167,A57,Data!$B$14:$B$167,"Hra")</f>
        <v>6</v>
      </c>
      <c r="C57" s="51">
        <f>IF(ISERR(AVERAGEIFS(Data!$H$14:$H$167,Data!$C$14:$C$167,A57,Data!$B$14:$B$167,"Rozšíření")),0,AVERAGEIFS(Data!$H$14:$H$167,Data!$C$14:$C$167,A57,Data!$B$14:$B$167,"Rozšíření"))</f>
        <v>0</v>
      </c>
      <c r="D57" s="52">
        <f t="shared" si="0"/>
        <v>90</v>
      </c>
      <c r="E57" s="52" t="str">
        <f t="shared" si="1"/>
        <v>-</v>
      </c>
      <c r="F57" s="60" t="str">
        <f t="shared" ca="1" si="2"/>
        <v>2 roky</v>
      </c>
      <c r="R57" s="23">
        <f>HLOOKUP("Datum vydání",Data!$A$13:$R$167,MATCH(A57,Data!$C$14:$C$167,0)+1,)</f>
        <v>42683</v>
      </c>
      <c r="S57" s="1">
        <f>IF(ISERR(AVERAGEIFS(Data!$J$14:$J$167,Data!$C$14:$C$167,Výpočty!A57,Data!$B$14:$B$167,"Hra")),"",AVERAGEIFS(Data!$J$14:$J$167,Data!$C$14:$C$167,Výpočty!A57,Data!$B$14:$B$167,"Hra"))</f>
        <v>90</v>
      </c>
      <c r="T57" s="1" t="str">
        <f>IF(ISERR(AVERAGEIFS(Data!$K$14:$K$167,Data!$C$14:$C$167,Výpočty!A57,Data!$B$14:$B$167,"Hra")),"",AVERAGEIFS(Data!$K$14:$K$167,Data!$C$14:$C$167,Výpočty!A57,Data!$B$14:$B$167,"Hra"))</f>
        <v/>
      </c>
      <c r="U57" s="1" t="str">
        <f>IF(ISERR(AVERAGEIFS(Data!$L$14:$L$167,Data!$C$14:$C$167,Výpočty!A57,Data!$B$14:$B$167,"Hra")),"",AVERAGEIFS(Data!$L$14:$L$167,Data!$C$14:$C$167,Výpočty!A57,Data!$B$14:$B$167,"Hra"))</f>
        <v/>
      </c>
      <c r="V57" s="1" t="str">
        <f>IF(ISERR(AVERAGEIFS(Data!$J$14:$J$167,Data!$C$14:$C$167,Výpočty!A57,Data!$B$14:$B$167,"Rozšíření")),"",AVERAGEIFS(Data!$J$14:$J$167,Data!$C$14:$C$167,Výpočty!A57,Data!$B$14:$B$167,"Rozšíření"))</f>
        <v/>
      </c>
      <c r="W57" s="1" t="str">
        <f>IF(ISERR(AVERAGEIFS(Data!$K$14:$K$167,Data!$C$14:$C$167,Výpočty!A57,Data!$B$14:$B$167,"Rozšíření")),"",AVERAGEIFS(Data!$K$14:$K$167,Data!$C$14:$C$167,Výpočty!A57,Data!$B$14:$B$167,"Rozšíření"))</f>
        <v/>
      </c>
      <c r="X57" s="1" t="str">
        <f>IF(ISERR(AVERAGEIFS(Data!$L$14:$L$167,Data!$C$14:$C$167,Výpočty!A57,Data!$B$14:$B$167,"Rozšíření")),"",AVERAGEIFS(Data!$L$14:$L$167,Data!$C$14:$C$167,Výpočty!A57,Data!$B$14:$B$167,"Rozšíření"))</f>
        <v/>
      </c>
    </row>
    <row r="58" spans="1:24" x14ac:dyDescent="0.25">
      <c r="A58" s="50" t="s">
        <v>256</v>
      </c>
      <c r="B58" s="51">
        <f>AVERAGEIFS(Data!$H$14:$H$167,Data!$C$14:$C$167,A58,Data!$B$14:$B$167,"Hra")</f>
        <v>9</v>
      </c>
      <c r="C58" s="51">
        <f>IF(ISERR(AVERAGEIFS(Data!$H$14:$H$167,Data!$C$14:$C$167,A58,Data!$B$14:$B$167,"Rozšíření")),0,AVERAGEIFS(Data!$H$14:$H$167,Data!$C$14:$C$167,A58,Data!$B$14:$B$167,"Rozšíření"))</f>
        <v>0</v>
      </c>
      <c r="D58" s="52">
        <f t="shared" si="0"/>
        <v>82</v>
      </c>
      <c r="E58" s="52" t="str">
        <f t="shared" si="1"/>
        <v>-</v>
      </c>
      <c r="F58" s="60" t="str">
        <f t="shared" ca="1" si="2"/>
        <v>2 roky</v>
      </c>
      <c r="R58" s="23">
        <f>HLOOKUP("Datum vydání",Data!$A$13:$R$167,MATCH(A58,Data!$C$14:$C$167,0)+1,)</f>
        <v>42654</v>
      </c>
      <c r="S58" s="1">
        <f>IF(ISERR(AVERAGEIFS(Data!$J$14:$J$167,Data!$C$14:$C$167,Výpočty!A58,Data!$B$14:$B$167,"Hra")),"",AVERAGEIFS(Data!$J$14:$J$167,Data!$C$14:$C$167,Výpočty!A58,Data!$B$14:$B$167,"Hra"))</f>
        <v>82</v>
      </c>
      <c r="T58" s="1">
        <f>IF(ISERR(AVERAGEIFS(Data!$K$14:$K$167,Data!$C$14:$C$167,Výpočty!A58,Data!$B$14:$B$167,"Hra")),"",AVERAGEIFS(Data!$K$14:$K$167,Data!$C$14:$C$167,Výpočty!A58,Data!$B$14:$B$167,"Hra"))</f>
        <v>82</v>
      </c>
      <c r="U58" s="1" t="str">
        <f>IF(ISERR(AVERAGEIFS(Data!$L$14:$L$167,Data!$C$14:$C$167,Výpočty!A58,Data!$B$14:$B$167,"Hra")),"",AVERAGEIFS(Data!$L$14:$L$167,Data!$C$14:$C$167,Výpočty!A58,Data!$B$14:$B$167,"Hra"))</f>
        <v/>
      </c>
      <c r="V58" s="1" t="str">
        <f>IF(ISERR(AVERAGEIFS(Data!$J$14:$J$167,Data!$C$14:$C$167,Výpočty!A58,Data!$B$14:$B$167,"Rozšíření")),"",AVERAGEIFS(Data!$J$14:$J$167,Data!$C$14:$C$167,Výpočty!A58,Data!$B$14:$B$167,"Rozšíření"))</f>
        <v/>
      </c>
      <c r="W58" s="1" t="str">
        <f>IF(ISERR(AVERAGEIFS(Data!$K$14:$K$167,Data!$C$14:$C$167,Výpočty!A58,Data!$B$14:$B$167,"Rozšíření")),"",AVERAGEIFS(Data!$K$14:$K$167,Data!$C$14:$C$167,Výpočty!A58,Data!$B$14:$B$167,"Rozšíření"))</f>
        <v/>
      </c>
      <c r="X58" s="1" t="str">
        <f>IF(ISERR(AVERAGEIFS(Data!$L$14:$L$167,Data!$C$14:$C$167,Výpočty!A58,Data!$B$14:$B$167,"Rozšíření")),"",AVERAGEIFS(Data!$L$14:$L$167,Data!$C$14:$C$167,Výpočty!A58,Data!$B$14:$B$167,"Rozšíření"))</f>
        <v/>
      </c>
    </row>
    <row r="59" spans="1:24" x14ac:dyDescent="0.25">
      <c r="A59" s="50" t="s">
        <v>376</v>
      </c>
      <c r="B59" s="51">
        <f>AVERAGEIFS(Data!$H$14:$H$167,Data!$C$14:$C$167,A59,Data!$B$14:$B$167,"Hra")</f>
        <v>13</v>
      </c>
      <c r="C59" s="51">
        <f>IF(ISERR(AVERAGEIFS(Data!$H$14:$H$167,Data!$C$14:$C$167,A59,Data!$B$14:$B$167,"Rozšíření")),0,AVERAGEIFS(Data!$H$14:$H$167,Data!$C$14:$C$167,A59,Data!$B$14:$B$167,"Rozšíření"))</f>
        <v>0</v>
      </c>
      <c r="D59" s="52">
        <f t="shared" si="0"/>
        <v>69</v>
      </c>
      <c r="E59" s="52" t="str">
        <f t="shared" si="1"/>
        <v>-</v>
      </c>
      <c r="F59" s="60" t="str">
        <f t="shared" ca="1" si="2"/>
        <v>2 roky</v>
      </c>
      <c r="R59" s="23">
        <f>HLOOKUP("Datum vydání",Data!$A$13:$R$167,MATCH(A59,Data!$C$14:$C$167,0)+1,)</f>
        <v>42626</v>
      </c>
      <c r="S59" s="1">
        <f>IF(ISERR(AVERAGEIFS(Data!$J$14:$J$167,Data!$C$14:$C$167,Výpočty!A59,Data!$B$14:$B$167,"Hra")),"",AVERAGEIFS(Data!$J$14:$J$167,Data!$C$14:$C$167,Výpočty!A59,Data!$B$14:$B$167,"Hra"))</f>
        <v>62</v>
      </c>
      <c r="T59" s="1">
        <f>IF(ISERR(AVERAGEIFS(Data!$K$14:$K$167,Data!$C$14:$C$167,Výpočty!A59,Data!$B$14:$B$167,"Hra")),"",AVERAGEIFS(Data!$K$14:$K$167,Data!$C$14:$C$167,Výpočty!A59,Data!$B$14:$B$167,"Hra"))</f>
        <v>76</v>
      </c>
      <c r="U59" s="1" t="str">
        <f>IF(ISERR(AVERAGEIFS(Data!$L$14:$L$167,Data!$C$14:$C$167,Výpočty!A59,Data!$B$14:$B$167,"Hra")),"",AVERAGEIFS(Data!$L$14:$L$167,Data!$C$14:$C$167,Výpočty!A59,Data!$B$14:$B$167,"Hra"))</f>
        <v/>
      </c>
      <c r="V59" s="1" t="str">
        <f>IF(ISERR(AVERAGEIFS(Data!$J$14:$J$167,Data!$C$14:$C$167,Výpočty!A59,Data!$B$14:$B$167,"Rozšíření")),"",AVERAGEIFS(Data!$J$14:$J$167,Data!$C$14:$C$167,Výpočty!A59,Data!$B$14:$B$167,"Rozšíření"))</f>
        <v/>
      </c>
      <c r="W59" s="1" t="str">
        <f>IF(ISERR(AVERAGEIFS(Data!$K$14:$K$167,Data!$C$14:$C$167,Výpočty!A59,Data!$B$14:$B$167,"Rozšíření")),"",AVERAGEIFS(Data!$K$14:$K$167,Data!$C$14:$C$167,Výpočty!A59,Data!$B$14:$B$167,"Rozšíření"))</f>
        <v/>
      </c>
      <c r="X59" s="1" t="str">
        <f>IF(ISERR(AVERAGEIFS(Data!$L$14:$L$167,Data!$C$14:$C$167,Výpočty!A59,Data!$B$14:$B$167,"Rozšíření")),"",AVERAGEIFS(Data!$L$14:$L$167,Data!$C$14:$C$167,Výpočty!A59,Data!$B$14:$B$167,"Rozšíření"))</f>
        <v/>
      </c>
    </row>
    <row r="60" spans="1:24" x14ac:dyDescent="0.25">
      <c r="A60" s="50" t="s">
        <v>251</v>
      </c>
      <c r="B60" s="51">
        <f>AVERAGEIFS(Data!$H$14:$H$167,Data!$C$14:$C$167,A60,Data!$B$14:$B$167,"Hra")</f>
        <v>3.5</v>
      </c>
      <c r="C60" s="51">
        <f>IF(ISERR(AVERAGEIFS(Data!$H$14:$H$167,Data!$C$14:$C$167,A60,Data!$B$14:$B$167,"Rozšíření")),0,AVERAGEIFS(Data!$H$14:$H$167,Data!$C$14:$C$167,A60,Data!$B$14:$B$167,"Rozšíření"))</f>
        <v>0</v>
      </c>
      <c r="D60" s="52">
        <f t="shared" si="0"/>
        <v>93</v>
      </c>
      <c r="E60" s="52" t="str">
        <f t="shared" si="1"/>
        <v>-</v>
      </c>
      <c r="F60" s="60" t="str">
        <f t="shared" ca="1" si="2"/>
        <v>2 roky</v>
      </c>
      <c r="R60" s="23">
        <f>HLOOKUP("Datum vydání",Data!$A$13:$R$167,MATCH(A60,Data!$C$14:$C$167,0)+1,)</f>
        <v>42550</v>
      </c>
      <c r="S60" s="1">
        <f>IF(ISERR(AVERAGEIFS(Data!$J$14:$J$167,Data!$C$14:$C$167,Výpočty!A60,Data!$B$14:$B$167,"Hra")),"",AVERAGEIFS(Data!$J$14:$J$167,Data!$C$14:$C$167,Výpočty!A60,Data!$B$14:$B$167,"Hra"))</f>
        <v>95</v>
      </c>
      <c r="T60" s="1">
        <f>IF(ISERR(AVERAGEIFS(Data!$K$14:$K$167,Data!$C$14:$C$167,Výpočty!A60,Data!$B$14:$B$167,"Hra")),"",AVERAGEIFS(Data!$K$14:$K$167,Data!$C$14:$C$167,Výpočty!A60,Data!$B$14:$B$167,"Hra"))</f>
        <v>94</v>
      </c>
      <c r="U60" s="1">
        <f>IF(ISERR(AVERAGEIFS(Data!$L$14:$L$167,Data!$C$14:$C$167,Výpočty!A60,Data!$B$14:$B$167,"Hra")),"",AVERAGEIFS(Data!$L$14:$L$167,Data!$C$14:$C$167,Výpočty!A60,Data!$B$14:$B$167,"Hra"))</f>
        <v>90</v>
      </c>
      <c r="V60" s="1" t="str">
        <f>IF(ISERR(AVERAGEIFS(Data!$J$14:$J$167,Data!$C$14:$C$167,Výpočty!A60,Data!$B$14:$B$167,"Rozšíření")),"",AVERAGEIFS(Data!$J$14:$J$167,Data!$C$14:$C$167,Výpočty!A60,Data!$B$14:$B$167,"Rozšíření"))</f>
        <v/>
      </c>
      <c r="W60" s="1" t="str">
        <f>IF(ISERR(AVERAGEIFS(Data!$K$14:$K$167,Data!$C$14:$C$167,Výpočty!A60,Data!$B$14:$B$167,"Rozšíření")),"",AVERAGEIFS(Data!$K$14:$K$167,Data!$C$14:$C$167,Výpočty!A60,Data!$B$14:$B$167,"Rozšíření"))</f>
        <v/>
      </c>
      <c r="X60" s="1" t="str">
        <f>IF(ISERR(AVERAGEIFS(Data!$L$14:$L$167,Data!$C$14:$C$167,Výpočty!A60,Data!$B$14:$B$167,"Rozšíření")),"",AVERAGEIFS(Data!$L$14:$L$167,Data!$C$14:$C$167,Výpočty!A60,Data!$B$14:$B$167,"Rozšíření"))</f>
        <v/>
      </c>
    </row>
    <row r="61" spans="1:24" x14ac:dyDescent="0.25">
      <c r="A61" s="50" t="s">
        <v>83</v>
      </c>
      <c r="B61" s="51">
        <f>AVERAGEIFS(Data!$H$14:$H$167,Data!$C$14:$C$167,A61,Data!$B$14:$B$167,"Hra")</f>
        <v>28.666666666666668</v>
      </c>
      <c r="C61" s="51">
        <f>IF(ISERR(AVERAGEIFS(Data!$H$14:$H$167,Data!$C$14:$C$167,A61,Data!$B$14:$B$167,"Rozšíření")),0,AVERAGEIFS(Data!$H$14:$H$167,Data!$C$14:$C$167,A61,Data!$B$14:$B$167,"Rozšíření"))</f>
        <v>7</v>
      </c>
      <c r="D61" s="52">
        <f t="shared" si="0"/>
        <v>84.8888888888889</v>
      </c>
      <c r="E61" s="52">
        <f t="shared" si="1"/>
        <v>88</v>
      </c>
      <c r="F61" s="60" t="str">
        <f t="shared" ca="1" si="2"/>
        <v>2 roky</v>
      </c>
      <c r="R61" s="23">
        <f>HLOOKUP("Datum vydání",Data!$A$13:$R$167,MATCH(A61,Data!$C$14:$C$167,0)+1,)</f>
        <v>42509</v>
      </c>
      <c r="S61" s="1">
        <f>IF(ISERR(AVERAGEIFS(Data!$J$14:$J$167,Data!$C$14:$C$167,Výpočty!A61,Data!$B$14:$B$167,"Hra")),"",AVERAGEIFS(Data!$J$14:$J$167,Data!$C$14:$C$167,Výpočty!A61,Data!$B$14:$B$167,"Hra"))</f>
        <v>76.666666666666671</v>
      </c>
      <c r="T61" s="1">
        <f>IF(ISERR(AVERAGEIFS(Data!$K$14:$K$167,Data!$C$14:$C$167,Výpočty!A61,Data!$B$14:$B$167,"Hra")),"",AVERAGEIFS(Data!$K$14:$K$167,Data!$C$14:$C$167,Výpočty!A61,Data!$B$14:$B$167,"Hra"))</f>
        <v>84</v>
      </c>
      <c r="U61" s="1">
        <f>IF(ISERR(AVERAGEIFS(Data!$L$14:$L$167,Data!$C$14:$C$167,Výpočty!A61,Data!$B$14:$B$167,"Hra")),"",AVERAGEIFS(Data!$L$14:$L$167,Data!$C$14:$C$167,Výpočty!A61,Data!$B$14:$B$167,"Hra"))</f>
        <v>94</v>
      </c>
      <c r="V61" s="1">
        <f>IF(ISERR(AVERAGEIFS(Data!$J$14:$J$167,Data!$C$14:$C$167,Výpočty!A61,Data!$B$14:$B$167,"Rozšíření")),"",AVERAGEIFS(Data!$J$14:$J$167,Data!$C$14:$C$167,Výpočty!A61,Data!$B$14:$B$167,"Rozšíření"))</f>
        <v>84</v>
      </c>
      <c r="W61" s="1">
        <f>IF(ISERR(AVERAGEIFS(Data!$K$14:$K$167,Data!$C$14:$C$167,Výpočty!A61,Data!$B$14:$B$167,"Rozšíření")),"",AVERAGEIFS(Data!$K$14:$K$167,Data!$C$14:$C$167,Výpočty!A61,Data!$B$14:$B$167,"Rozšíření"))</f>
        <v>90</v>
      </c>
      <c r="X61" s="1">
        <f>IF(ISERR(AVERAGEIFS(Data!$L$14:$L$167,Data!$C$14:$C$167,Výpočty!A61,Data!$B$14:$B$167,"Rozšíření")),"",AVERAGEIFS(Data!$L$14:$L$167,Data!$C$14:$C$167,Výpočty!A61,Data!$B$14:$B$167,"Rozšíření"))</f>
        <v>90</v>
      </c>
    </row>
    <row r="62" spans="1:24" x14ac:dyDescent="0.25">
      <c r="A62" s="50" t="s">
        <v>33</v>
      </c>
      <c r="B62" s="51">
        <f>AVERAGEIFS(Data!$H$14:$H$167,Data!$C$14:$C$167,A62,Data!$B$14:$B$167,"Hra")</f>
        <v>8.5</v>
      </c>
      <c r="C62" s="51">
        <f>IF(ISERR(AVERAGEIFS(Data!$H$14:$H$167,Data!$C$14:$C$167,A62,Data!$B$14:$B$167,"Rozšíření")),0,AVERAGEIFS(Data!$H$14:$H$167,Data!$C$14:$C$167,A62,Data!$B$14:$B$167,"Rozšíření"))</f>
        <v>0</v>
      </c>
      <c r="D62" s="52">
        <f t="shared" si="0"/>
        <v>95</v>
      </c>
      <c r="E62" s="52" t="str">
        <f t="shared" si="1"/>
        <v>-</v>
      </c>
      <c r="F62" s="60" t="str">
        <f t="shared" ca="1" si="2"/>
        <v>2 roky</v>
      </c>
      <c r="R62" s="23">
        <f>HLOOKUP("Datum vydání",Data!$A$13:$R$167,MATCH(A62,Data!$C$14:$C$167,0)+1,)</f>
        <v>42471</v>
      </c>
      <c r="S62" s="1">
        <f>IF(ISERR(AVERAGEIFS(Data!$J$14:$J$167,Data!$C$14:$C$167,Výpočty!A62,Data!$B$14:$B$167,"Hra")),"",AVERAGEIFS(Data!$J$14:$J$167,Data!$C$14:$C$167,Výpočty!A62,Data!$B$14:$B$167,"Hra"))</f>
        <v>96</v>
      </c>
      <c r="T62" s="1">
        <f>IF(ISERR(AVERAGEIFS(Data!$K$14:$K$167,Data!$C$14:$C$167,Výpočty!A62,Data!$B$14:$B$167,"Hra")),"",AVERAGEIFS(Data!$K$14:$K$167,Data!$C$14:$C$167,Výpočty!A62,Data!$B$14:$B$167,"Hra"))</f>
        <v>94</v>
      </c>
      <c r="U62" s="1" t="str">
        <f>IF(ISERR(AVERAGEIFS(Data!$L$14:$L$167,Data!$C$14:$C$167,Výpočty!A62,Data!$B$14:$B$167,"Hra")),"",AVERAGEIFS(Data!$L$14:$L$167,Data!$C$14:$C$167,Výpočty!A62,Data!$B$14:$B$167,"Hra"))</f>
        <v/>
      </c>
      <c r="V62" s="1" t="str">
        <f>IF(ISERR(AVERAGEIFS(Data!$J$14:$J$167,Data!$C$14:$C$167,Výpočty!A62,Data!$B$14:$B$167,"Rozšíření")),"",AVERAGEIFS(Data!$J$14:$J$167,Data!$C$14:$C$167,Výpočty!A62,Data!$B$14:$B$167,"Rozšíření"))</f>
        <v/>
      </c>
      <c r="W62" s="1" t="str">
        <f>IF(ISERR(AVERAGEIFS(Data!$K$14:$K$167,Data!$C$14:$C$167,Výpočty!A62,Data!$B$14:$B$167,"Rozšíření")),"",AVERAGEIFS(Data!$K$14:$K$167,Data!$C$14:$C$167,Výpočty!A62,Data!$B$14:$B$167,"Rozšíření"))</f>
        <v/>
      </c>
      <c r="X62" s="1" t="str">
        <f>IF(ISERR(AVERAGEIFS(Data!$L$14:$L$167,Data!$C$14:$C$167,Výpočty!A62,Data!$B$14:$B$167,"Rozšíření")),"",AVERAGEIFS(Data!$L$14:$L$167,Data!$C$14:$C$167,Výpočty!A62,Data!$B$14:$B$167,"Rozšíření"))</f>
        <v/>
      </c>
    </row>
    <row r="63" spans="1:24" x14ac:dyDescent="0.25">
      <c r="A63" s="50" t="s">
        <v>268</v>
      </c>
      <c r="B63" s="51">
        <f>AVERAGEIFS(Data!$H$14:$H$167,Data!$C$14:$C$167,A63,Data!$B$14:$B$167,"Hra")</f>
        <v>12</v>
      </c>
      <c r="C63" s="51">
        <f>IF(ISERR(AVERAGEIFS(Data!$H$14:$H$167,Data!$C$14:$C$167,A63,Data!$B$14:$B$167,"Rozšíření")),0,AVERAGEIFS(Data!$H$14:$H$167,Data!$C$14:$C$167,A63,Data!$B$14:$B$167,"Rozšíření"))</f>
        <v>0</v>
      </c>
      <c r="D63" s="52">
        <f t="shared" si="0"/>
        <v>83.666666666666671</v>
      </c>
      <c r="E63" s="52" t="str">
        <f t="shared" si="1"/>
        <v>-</v>
      </c>
      <c r="F63" s="60" t="str">
        <f t="shared" ca="1" si="2"/>
        <v>2 roky</v>
      </c>
      <c r="R63" s="23">
        <f>HLOOKUP("Datum vydání",Data!$A$13:$R$167,MATCH(A63,Data!$C$14:$C$167,0)+1,)</f>
        <v>42448</v>
      </c>
      <c r="S63" s="1">
        <f>IF(ISERR(AVERAGEIFS(Data!$J$14:$J$167,Data!$C$14:$C$167,Výpočty!A63,Data!$B$14:$B$167,"Hra")),"",AVERAGEIFS(Data!$J$14:$J$167,Data!$C$14:$C$167,Výpočty!A63,Data!$B$14:$B$167,"Hra"))</f>
        <v>91</v>
      </c>
      <c r="T63" s="1">
        <f>IF(ISERR(AVERAGEIFS(Data!$K$14:$K$167,Data!$C$14:$C$167,Výpočty!A63,Data!$B$14:$B$167,"Hra")),"",AVERAGEIFS(Data!$K$14:$K$167,Data!$C$14:$C$167,Výpočty!A63,Data!$B$14:$B$167,"Hra"))</f>
        <v>70</v>
      </c>
      <c r="U63" s="1">
        <f>IF(ISERR(AVERAGEIFS(Data!$L$14:$L$167,Data!$C$14:$C$167,Výpočty!A63,Data!$B$14:$B$167,"Hra")),"",AVERAGEIFS(Data!$L$14:$L$167,Data!$C$14:$C$167,Výpočty!A63,Data!$B$14:$B$167,"Hra"))</f>
        <v>90</v>
      </c>
      <c r="V63" s="1" t="str">
        <f>IF(ISERR(AVERAGEIFS(Data!$J$14:$J$167,Data!$C$14:$C$167,Výpočty!A63,Data!$B$14:$B$167,"Rozšíření")),"",AVERAGEIFS(Data!$J$14:$J$167,Data!$C$14:$C$167,Výpočty!A63,Data!$B$14:$B$167,"Rozšíření"))</f>
        <v/>
      </c>
      <c r="W63" s="1" t="str">
        <f>IF(ISERR(AVERAGEIFS(Data!$K$14:$K$167,Data!$C$14:$C$167,Výpočty!A63,Data!$B$14:$B$167,"Rozšíření")),"",AVERAGEIFS(Data!$K$14:$K$167,Data!$C$14:$C$167,Výpočty!A63,Data!$B$14:$B$167,"Rozšíření"))</f>
        <v/>
      </c>
      <c r="X63" s="1" t="str">
        <f>IF(ISERR(AVERAGEIFS(Data!$L$14:$L$167,Data!$C$14:$C$167,Výpočty!A63,Data!$B$14:$B$167,"Rozšíření")),"",AVERAGEIFS(Data!$L$14:$L$167,Data!$C$14:$C$167,Výpočty!A63,Data!$B$14:$B$167,"Rozšíření"))</f>
        <v/>
      </c>
    </row>
    <row r="64" spans="1:24" x14ac:dyDescent="0.25">
      <c r="A64" s="50" t="s">
        <v>37</v>
      </c>
      <c r="B64" s="51">
        <f>AVERAGEIFS(Data!$H$14:$H$167,Data!$C$14:$C$167,A64,Data!$B$14:$B$167,"Hra")</f>
        <v>10</v>
      </c>
      <c r="C64" s="51">
        <f>IF(ISERR(AVERAGEIFS(Data!$H$14:$H$167,Data!$C$14:$C$167,A64,Data!$B$14:$B$167,"Rozšíření")),0,AVERAGEIFS(Data!$H$14:$H$167,Data!$C$14:$C$167,A64,Data!$B$14:$B$167,"Rozšíření"))</f>
        <v>0</v>
      </c>
      <c r="D64" s="52">
        <f t="shared" si="0"/>
        <v>83</v>
      </c>
      <c r="E64" s="52" t="str">
        <f t="shared" si="1"/>
        <v>-</v>
      </c>
      <c r="F64" s="60" t="str">
        <f t="shared" ca="1" si="2"/>
        <v>2 roky</v>
      </c>
      <c r="R64" s="23">
        <f>HLOOKUP("Datum vydání",Data!$A$13:$R$167,MATCH(A64,Data!$C$14:$C$167,0)+1,)</f>
        <v>42434</v>
      </c>
      <c r="S64" s="1">
        <f>IF(ISERR(AVERAGEIFS(Data!$J$14:$J$167,Data!$C$14:$C$167,Výpočty!A64,Data!$B$14:$B$167,"Hra")),"",AVERAGEIFS(Data!$J$14:$J$167,Data!$C$14:$C$167,Výpočty!A64,Data!$B$14:$B$167,"Hra"))</f>
        <v>84</v>
      </c>
      <c r="T64" s="1">
        <f>IF(ISERR(AVERAGEIFS(Data!$K$14:$K$167,Data!$C$14:$C$167,Výpočty!A64,Data!$B$14:$B$167,"Hra")),"",AVERAGEIFS(Data!$K$14:$K$167,Data!$C$14:$C$167,Výpočty!A64,Data!$B$14:$B$167,"Hra"))</f>
        <v>82</v>
      </c>
      <c r="U64" s="1" t="str">
        <f>IF(ISERR(AVERAGEIFS(Data!$L$14:$L$167,Data!$C$14:$C$167,Výpočty!A64,Data!$B$14:$B$167,"Hra")),"",AVERAGEIFS(Data!$L$14:$L$167,Data!$C$14:$C$167,Výpočty!A64,Data!$B$14:$B$167,"Hra"))</f>
        <v/>
      </c>
      <c r="V64" s="1" t="str">
        <f>IF(ISERR(AVERAGEIFS(Data!$J$14:$J$167,Data!$C$14:$C$167,Výpočty!A64,Data!$B$14:$B$167,"Rozšíření")),"",AVERAGEIFS(Data!$J$14:$J$167,Data!$C$14:$C$167,Výpočty!A64,Data!$B$14:$B$167,"Rozšíření"))</f>
        <v/>
      </c>
      <c r="W64" s="1" t="str">
        <f>IF(ISERR(AVERAGEIFS(Data!$K$14:$K$167,Data!$C$14:$C$167,Výpočty!A64,Data!$B$14:$B$167,"Rozšíření")),"",AVERAGEIFS(Data!$K$14:$K$167,Data!$C$14:$C$167,Výpočty!A64,Data!$B$14:$B$167,"Rozšíření"))</f>
        <v/>
      </c>
      <c r="X64" s="1" t="str">
        <f>IF(ISERR(AVERAGEIFS(Data!$L$14:$L$167,Data!$C$14:$C$167,Výpočty!A64,Data!$B$14:$B$167,"Rozšíření")),"",AVERAGEIFS(Data!$L$14:$L$167,Data!$C$14:$C$167,Výpočty!A64,Data!$B$14:$B$167,"Rozšíření"))</f>
        <v/>
      </c>
    </row>
    <row r="65" spans="1:24" x14ac:dyDescent="0.25">
      <c r="A65" s="50" t="s">
        <v>91</v>
      </c>
      <c r="B65" s="51">
        <f>AVERAGEIFS(Data!$H$14:$H$167,Data!$C$14:$C$167,A65,Data!$B$14:$B$167,"Hra")</f>
        <v>49</v>
      </c>
      <c r="C65" s="51">
        <f>IF(ISERR(AVERAGEIFS(Data!$H$14:$H$167,Data!$C$14:$C$167,A65,Data!$B$14:$B$167,"Rozšíření")),0,AVERAGEIFS(Data!$H$14:$H$167,Data!$C$14:$C$167,A65,Data!$B$14:$B$167,"Rozšíření"))</f>
        <v>0</v>
      </c>
      <c r="D65" s="52">
        <f t="shared" si="0"/>
        <v>93</v>
      </c>
      <c r="E65" s="52" t="str">
        <f t="shared" si="1"/>
        <v>-</v>
      </c>
      <c r="F65" s="60" t="str">
        <f t="shared" ca="1" si="2"/>
        <v>2 roky</v>
      </c>
      <c r="R65" s="23">
        <f>HLOOKUP("Datum vydání",Data!$A$13:$R$167,MATCH(A65,Data!$C$14:$C$167,0)+1,)</f>
        <v>42426</v>
      </c>
      <c r="S65" s="1">
        <f>IF(ISERR(AVERAGEIFS(Data!$J$14:$J$167,Data!$C$14:$C$167,Výpočty!A65,Data!$B$14:$B$167,"Hra")),"",AVERAGEIFS(Data!$J$14:$J$167,Data!$C$14:$C$167,Výpočty!A65,Data!$B$14:$B$167,"Hra"))</f>
        <v>97</v>
      </c>
      <c r="T65" s="1">
        <f>IF(ISERR(AVERAGEIFS(Data!$K$14:$K$167,Data!$C$14:$C$167,Výpočty!A65,Data!$B$14:$B$167,"Hra")),"",AVERAGEIFS(Data!$K$14:$K$167,Data!$C$14:$C$167,Výpočty!A65,Data!$B$14:$B$167,"Hra"))</f>
        <v>94</v>
      </c>
      <c r="U65" s="1">
        <f>IF(ISERR(AVERAGEIFS(Data!$L$14:$L$167,Data!$C$14:$C$167,Výpočty!A65,Data!$B$14:$B$167,"Hra")),"",AVERAGEIFS(Data!$L$14:$L$167,Data!$C$14:$C$167,Výpočty!A65,Data!$B$14:$B$167,"Hra"))</f>
        <v>88</v>
      </c>
      <c r="V65" s="1" t="str">
        <f>IF(ISERR(AVERAGEIFS(Data!$J$14:$J$167,Data!$C$14:$C$167,Výpočty!A65,Data!$B$14:$B$167,"Rozšíření")),"",AVERAGEIFS(Data!$J$14:$J$167,Data!$C$14:$C$167,Výpočty!A65,Data!$B$14:$B$167,"Rozšíření"))</f>
        <v/>
      </c>
      <c r="W65" s="1" t="str">
        <f>IF(ISERR(AVERAGEIFS(Data!$K$14:$K$167,Data!$C$14:$C$167,Výpočty!A65,Data!$B$14:$B$167,"Rozšíření")),"",AVERAGEIFS(Data!$K$14:$K$167,Data!$C$14:$C$167,Výpočty!A65,Data!$B$14:$B$167,"Rozšíření"))</f>
        <v/>
      </c>
      <c r="X65" s="1" t="str">
        <f>IF(ISERR(AVERAGEIFS(Data!$L$14:$L$167,Data!$C$14:$C$167,Výpočty!A65,Data!$B$14:$B$167,"Rozšíření")),"",AVERAGEIFS(Data!$L$14:$L$167,Data!$C$14:$C$167,Výpočty!A65,Data!$B$14:$B$167,"Rozšíření"))</f>
        <v/>
      </c>
    </row>
    <row r="66" spans="1:24" x14ac:dyDescent="0.25">
      <c r="A66" s="48" t="s">
        <v>192</v>
      </c>
      <c r="B66" s="51">
        <f>AVERAGEIFS(Data!$H$14:$H$167,Data!$C$14:$C$167,A66,Data!$B$14:$B$167,"Hra")</f>
        <v>18</v>
      </c>
      <c r="C66" s="51">
        <f>IF(ISERR(AVERAGEIFS(Data!$H$14:$H$167,Data!$C$14:$C$167,A66,Data!$B$14:$B$167,"Rozšíření")),0,AVERAGEIFS(Data!$H$14:$H$167,Data!$C$14:$C$167,A66,Data!$B$14:$B$167,"Rozšíření"))</f>
        <v>0</v>
      </c>
      <c r="D66" s="52">
        <f t="shared" si="0"/>
        <v>90</v>
      </c>
      <c r="E66" s="52" t="str">
        <f t="shared" si="1"/>
        <v>-</v>
      </c>
      <c r="F66" s="60" t="str">
        <f t="shared" ca="1" si="2"/>
        <v>3 roky</v>
      </c>
      <c r="R66" s="23">
        <f>HLOOKUP("Datum vydání",Data!$A$13:$R$167,MATCH(A66,Data!$C$14:$C$167,0)+1,)</f>
        <v>42390</v>
      </c>
      <c r="S66" s="1" t="str">
        <f>IF(ISERR(AVERAGEIFS(Data!$J$14:$J$167,Data!$C$14:$C$167,Výpočty!A66,Data!$B$14:$B$167,"Hra")),"",AVERAGEIFS(Data!$J$14:$J$167,Data!$C$14:$C$167,Výpočty!A66,Data!$B$14:$B$167,"Hra"))</f>
        <v/>
      </c>
      <c r="T66" s="1" t="str">
        <f>IF(ISERR(AVERAGEIFS(Data!$K$14:$K$167,Data!$C$14:$C$167,Výpočty!A66,Data!$B$14:$B$167,"Hra")),"",AVERAGEIFS(Data!$K$14:$K$167,Data!$C$14:$C$167,Výpočty!A66,Data!$B$14:$B$167,"Hra"))</f>
        <v/>
      </c>
      <c r="U66" s="1">
        <f>IF(ISERR(AVERAGEIFS(Data!$L$14:$L$167,Data!$C$14:$C$167,Výpočty!A66,Data!$B$14:$B$167,"Hra")),"",AVERAGEIFS(Data!$L$14:$L$167,Data!$C$14:$C$167,Výpočty!A66,Data!$B$14:$B$167,"Hra"))</f>
        <v>90</v>
      </c>
      <c r="V66" s="1" t="str">
        <f>IF(ISERR(AVERAGEIFS(Data!$J$14:$J$167,Data!$C$14:$C$167,Výpočty!A66,Data!$B$14:$B$167,"Rozšíření")),"",AVERAGEIFS(Data!$J$14:$J$167,Data!$C$14:$C$167,Výpočty!A66,Data!$B$14:$B$167,"Rozšíření"))</f>
        <v/>
      </c>
      <c r="W66" s="1" t="str">
        <f>IF(ISERR(AVERAGEIFS(Data!$K$14:$K$167,Data!$C$14:$C$167,Výpočty!A66,Data!$B$14:$B$167,"Rozšíření")),"",AVERAGEIFS(Data!$K$14:$K$167,Data!$C$14:$C$167,Výpočty!A66,Data!$B$14:$B$167,"Rozšíření"))</f>
        <v/>
      </c>
      <c r="X66" s="1" t="str">
        <f>IF(ISERR(AVERAGEIFS(Data!$L$14:$L$167,Data!$C$14:$C$167,Výpočty!A66,Data!$B$14:$B$167,"Rozšíření")),"",AVERAGEIFS(Data!$L$14:$L$167,Data!$C$14:$C$167,Výpočty!A66,Data!$B$14:$B$167,"Rozšíření"))</f>
        <v/>
      </c>
    </row>
    <row r="67" spans="1:24" x14ac:dyDescent="0.25">
      <c r="A67" s="50" t="s">
        <v>176</v>
      </c>
      <c r="B67" s="51">
        <f>AVERAGEIFS(Data!$H$14:$H$167,Data!$C$14:$C$167,A67,Data!$B$14:$B$167,"Hra")</f>
        <v>4.5</v>
      </c>
      <c r="C67" s="51">
        <f>IF(ISERR(AVERAGEIFS(Data!$H$14:$H$167,Data!$C$14:$C$167,A67,Data!$B$14:$B$167,"Rozšíření")),0,AVERAGEIFS(Data!$H$14:$H$167,Data!$C$14:$C$167,A67,Data!$B$14:$B$167,"Rozšíření"))</f>
        <v>0</v>
      </c>
      <c r="D67" s="52">
        <f t="shared" si="0"/>
        <v>92.333333333333329</v>
      </c>
      <c r="E67" s="52" t="str">
        <f t="shared" si="1"/>
        <v>-</v>
      </c>
      <c r="F67" s="60" t="str">
        <f t="shared" ca="1" si="2"/>
        <v>3 roky</v>
      </c>
      <c r="R67" s="23">
        <f>HLOOKUP("Datum vydání",Data!$A$13:$R$167,MATCH(A67,Data!$C$14:$C$167,0)+1,)</f>
        <v>42383</v>
      </c>
      <c r="S67" s="1">
        <f>IF(ISERR(AVERAGEIFS(Data!$J$14:$J$167,Data!$C$14:$C$167,Výpočty!A67,Data!$B$14:$B$167,"Hra")),"",AVERAGEIFS(Data!$J$14:$J$167,Data!$C$14:$C$167,Výpočty!A67,Data!$B$14:$B$167,"Hra"))</f>
        <v>93</v>
      </c>
      <c r="T67" s="1">
        <f>IF(ISERR(AVERAGEIFS(Data!$K$14:$K$167,Data!$C$14:$C$167,Výpočty!A67,Data!$B$14:$B$167,"Hra")),"",AVERAGEIFS(Data!$K$14:$K$167,Data!$C$14:$C$167,Výpočty!A67,Data!$B$14:$B$167,"Hra"))</f>
        <v>94</v>
      </c>
      <c r="U67" s="1">
        <f>IF(ISERR(AVERAGEIFS(Data!$L$14:$L$167,Data!$C$14:$C$167,Výpočty!A67,Data!$B$14:$B$167,"Hra")),"",AVERAGEIFS(Data!$L$14:$L$167,Data!$C$14:$C$167,Výpočty!A67,Data!$B$14:$B$167,"Hra"))</f>
        <v>90</v>
      </c>
      <c r="V67" s="1" t="str">
        <f>IF(ISERR(AVERAGEIFS(Data!$J$14:$J$167,Data!$C$14:$C$167,Výpočty!A67,Data!$B$14:$B$167,"Rozšíření")),"",AVERAGEIFS(Data!$J$14:$J$167,Data!$C$14:$C$167,Výpočty!A67,Data!$B$14:$B$167,"Rozšíření"))</f>
        <v/>
      </c>
      <c r="W67" s="1" t="str">
        <f>IF(ISERR(AVERAGEIFS(Data!$K$14:$K$167,Data!$C$14:$C$167,Výpočty!A67,Data!$B$14:$B$167,"Rozšíření")),"",AVERAGEIFS(Data!$K$14:$K$167,Data!$C$14:$C$167,Výpočty!A67,Data!$B$14:$B$167,"Rozšíření"))</f>
        <v/>
      </c>
      <c r="X67" s="1" t="str">
        <f>IF(ISERR(AVERAGEIFS(Data!$L$14:$L$167,Data!$C$14:$C$167,Výpočty!A67,Data!$B$14:$B$167,"Rozšíření")),"",AVERAGEIFS(Data!$L$14:$L$167,Data!$C$14:$C$167,Výpočty!A67,Data!$B$14:$B$167,"Rozšíření"))</f>
        <v/>
      </c>
    </row>
    <row r="68" spans="1:24" x14ac:dyDescent="0.25">
      <c r="A68" s="50" t="s">
        <v>108</v>
      </c>
      <c r="B68" s="51">
        <f>AVERAGEIFS(Data!$H$14:$H$167,Data!$C$14:$C$167,A68,Data!$B$14:$B$167,"Hra")</f>
        <v>12.5</v>
      </c>
      <c r="C68" s="51">
        <f>IF(ISERR(AVERAGEIFS(Data!$H$14:$H$167,Data!$C$14:$C$167,A68,Data!$B$14:$B$167,"Rozšíření")),0,AVERAGEIFS(Data!$H$14:$H$167,Data!$C$14:$C$167,A68,Data!$B$14:$B$167,"Rozšíření"))</f>
        <v>0</v>
      </c>
      <c r="D68" s="52">
        <f t="shared" si="0"/>
        <v>91.833333333333329</v>
      </c>
      <c r="E68" s="52" t="str">
        <f t="shared" si="1"/>
        <v>-</v>
      </c>
      <c r="F68" s="60" t="str">
        <f t="shared" ca="1" si="2"/>
        <v>3 roky</v>
      </c>
      <c r="R68" s="23">
        <f>HLOOKUP("Datum vydání",Data!$A$13:$R$167,MATCH(A68,Data!$C$14:$C$167,0)+1,)</f>
        <v>42318</v>
      </c>
      <c r="S68" s="1">
        <f>IF(ISERR(AVERAGEIFS(Data!$J$14:$J$167,Data!$C$14:$C$167,Výpočty!A68,Data!$B$14:$B$167,"Hra")),"",AVERAGEIFS(Data!$J$14:$J$167,Data!$C$14:$C$167,Výpočty!A68,Data!$B$14:$B$167,"Hra"))</f>
        <v>93.5</v>
      </c>
      <c r="T68" s="1">
        <f>IF(ISERR(AVERAGEIFS(Data!$K$14:$K$167,Data!$C$14:$C$167,Výpočty!A68,Data!$B$14:$B$167,"Hra")),"",AVERAGEIFS(Data!$K$14:$K$167,Data!$C$14:$C$167,Výpočty!A68,Data!$B$14:$B$167,"Hra"))</f>
        <v>92</v>
      </c>
      <c r="U68" s="1">
        <f>IF(ISERR(AVERAGEIFS(Data!$L$14:$L$167,Data!$C$14:$C$167,Výpočty!A68,Data!$B$14:$B$167,"Hra")),"",AVERAGEIFS(Data!$L$14:$L$167,Data!$C$14:$C$167,Výpočty!A68,Data!$B$14:$B$167,"Hra"))</f>
        <v>90</v>
      </c>
      <c r="V68" s="1" t="str">
        <f>IF(ISERR(AVERAGEIFS(Data!$J$14:$J$167,Data!$C$14:$C$167,Výpočty!A68,Data!$B$14:$B$167,"Rozšíření")),"",AVERAGEIFS(Data!$J$14:$J$167,Data!$C$14:$C$167,Výpočty!A68,Data!$B$14:$B$167,"Rozšíření"))</f>
        <v/>
      </c>
      <c r="W68" s="1" t="str">
        <f>IF(ISERR(AVERAGEIFS(Data!$K$14:$K$167,Data!$C$14:$C$167,Výpočty!A68,Data!$B$14:$B$167,"Rozšíření")),"",AVERAGEIFS(Data!$K$14:$K$167,Data!$C$14:$C$167,Výpočty!A68,Data!$B$14:$B$167,"Rozšíření"))</f>
        <v/>
      </c>
      <c r="X68" s="1" t="str">
        <f>IF(ISERR(AVERAGEIFS(Data!$L$14:$L$167,Data!$C$14:$C$167,Výpočty!A68,Data!$B$14:$B$167,"Rozšíření")),"",AVERAGEIFS(Data!$L$14:$L$167,Data!$C$14:$C$167,Výpočty!A68,Data!$B$14:$B$167,"Rozšíření"))</f>
        <v/>
      </c>
    </row>
    <row r="69" spans="1:24" x14ac:dyDescent="0.25">
      <c r="A69" s="50" t="s">
        <v>373</v>
      </c>
      <c r="B69" s="51">
        <f>AVERAGEIFS(Data!$H$14:$H$167,Data!$C$14:$C$167,A69,Data!$B$14:$B$167,"Hra")</f>
        <v>8.5</v>
      </c>
      <c r="C69" s="51">
        <f>IF(ISERR(AVERAGEIFS(Data!$H$14:$H$167,Data!$C$14:$C$167,A69,Data!$B$14:$B$167,"Rozšíření")),0,AVERAGEIFS(Data!$H$14:$H$167,Data!$C$14:$C$167,A69,Data!$B$14:$B$167,"Rozšíření"))</f>
        <v>0</v>
      </c>
      <c r="D69" s="52">
        <f t="shared" si="0"/>
        <v>84</v>
      </c>
      <c r="E69" s="52" t="str">
        <f t="shared" si="1"/>
        <v>-</v>
      </c>
      <c r="F69" s="60" t="str">
        <f t="shared" ca="1" si="2"/>
        <v>3 roky</v>
      </c>
      <c r="R69" s="23">
        <f>HLOOKUP("Datum vydání",Data!$A$13:$R$167,MATCH(A69,Data!$C$14:$C$167,0)+1,)</f>
        <v>42298</v>
      </c>
      <c r="S69" s="1">
        <f>IF(ISERR(AVERAGEIFS(Data!$J$14:$J$167,Data!$C$14:$C$167,Výpočty!A69,Data!$B$14:$B$167,"Hra")),"",AVERAGEIFS(Data!$J$14:$J$167,Data!$C$14:$C$167,Výpočty!A69,Data!$B$14:$B$167,"Hra"))</f>
        <v>86</v>
      </c>
      <c r="T69" s="1">
        <f>IF(ISERR(AVERAGEIFS(Data!$K$14:$K$167,Data!$C$14:$C$167,Výpočty!A69,Data!$B$14:$B$167,"Hra")),"",AVERAGEIFS(Data!$K$14:$K$167,Data!$C$14:$C$167,Výpočty!A69,Data!$B$14:$B$167,"Hra"))</f>
        <v>82</v>
      </c>
      <c r="U69" s="1" t="str">
        <f>IF(ISERR(AVERAGEIFS(Data!$L$14:$L$167,Data!$C$14:$C$167,Výpočty!A69,Data!$B$14:$B$167,"Hra")),"",AVERAGEIFS(Data!$L$14:$L$167,Data!$C$14:$C$167,Výpočty!A69,Data!$B$14:$B$167,"Hra"))</f>
        <v/>
      </c>
      <c r="V69" s="1" t="str">
        <f>IF(ISERR(AVERAGEIFS(Data!$J$14:$J$167,Data!$C$14:$C$167,Výpočty!A69,Data!$B$14:$B$167,"Rozšíření")),"",AVERAGEIFS(Data!$J$14:$J$167,Data!$C$14:$C$167,Výpočty!A69,Data!$B$14:$B$167,"Rozšíření"))</f>
        <v/>
      </c>
      <c r="W69" s="1" t="str">
        <f>IF(ISERR(AVERAGEIFS(Data!$K$14:$K$167,Data!$C$14:$C$167,Výpočty!A69,Data!$B$14:$B$167,"Rozšíření")),"",AVERAGEIFS(Data!$K$14:$K$167,Data!$C$14:$C$167,Výpočty!A69,Data!$B$14:$B$167,"Rozšíření"))</f>
        <v/>
      </c>
      <c r="X69" s="1" t="str">
        <f>IF(ISERR(AVERAGEIFS(Data!$L$14:$L$167,Data!$C$14:$C$167,Výpočty!A69,Data!$B$14:$B$167,"Rozšíření")),"",AVERAGEIFS(Data!$L$14:$L$167,Data!$C$14:$C$167,Výpočty!A69,Data!$B$14:$B$167,"Rozšíření"))</f>
        <v/>
      </c>
    </row>
    <row r="70" spans="1:24" x14ac:dyDescent="0.25">
      <c r="A70" s="50" t="s">
        <v>118</v>
      </c>
      <c r="B70" s="51">
        <f>AVERAGEIFS(Data!$H$14:$H$167,Data!$C$14:$C$167,A70,Data!$B$14:$B$167,"Hra")</f>
        <v>19.5</v>
      </c>
      <c r="C70" s="51">
        <f>IF(ISERR(AVERAGEIFS(Data!$H$14:$H$167,Data!$C$14:$C$167,A70,Data!$B$14:$B$167,"Rozšíření")),0,AVERAGEIFS(Data!$H$14:$H$167,Data!$C$14:$C$167,A70,Data!$B$14:$B$167,"Rozšíření"))</f>
        <v>0</v>
      </c>
      <c r="D70" s="52">
        <f t="shared" si="0"/>
        <v>88.333333333333329</v>
      </c>
      <c r="E70" s="52" t="str">
        <f t="shared" si="1"/>
        <v>-</v>
      </c>
      <c r="F70" s="60" t="str">
        <f t="shared" ca="1" si="2"/>
        <v>3 roky</v>
      </c>
      <c r="R70" s="23">
        <f>HLOOKUP("Datum vydání",Data!$A$13:$R$167,MATCH(A70,Data!$C$14:$C$167,0)+1,)</f>
        <v>42248</v>
      </c>
      <c r="S70" s="1">
        <f>IF(ISERR(AVERAGEIFS(Data!$J$14:$J$167,Data!$C$14:$C$167,Výpočty!A70,Data!$B$14:$B$167,"Hra")),"",AVERAGEIFS(Data!$J$14:$J$167,Data!$C$14:$C$167,Výpočty!A70,Data!$B$14:$B$167,"Hra"))</f>
        <v>89</v>
      </c>
      <c r="T70" s="1">
        <f>IF(ISERR(AVERAGEIFS(Data!$K$14:$K$167,Data!$C$14:$C$167,Výpočty!A70,Data!$B$14:$B$167,"Hra")),"",AVERAGEIFS(Data!$K$14:$K$167,Data!$C$14:$C$167,Výpočty!A70,Data!$B$14:$B$167,"Hra"))</f>
        <v>86</v>
      </c>
      <c r="U70" s="1">
        <f>IF(ISERR(AVERAGEIFS(Data!$L$14:$L$167,Data!$C$14:$C$167,Výpočty!A70,Data!$B$14:$B$167,"Hra")),"",AVERAGEIFS(Data!$L$14:$L$167,Data!$C$14:$C$167,Výpočty!A70,Data!$B$14:$B$167,"Hra"))</f>
        <v>90</v>
      </c>
      <c r="V70" s="1" t="str">
        <f>IF(ISERR(AVERAGEIFS(Data!$J$14:$J$167,Data!$C$14:$C$167,Výpočty!A70,Data!$B$14:$B$167,"Rozšíření")),"",AVERAGEIFS(Data!$J$14:$J$167,Data!$C$14:$C$167,Výpočty!A70,Data!$B$14:$B$167,"Rozšíření"))</f>
        <v/>
      </c>
      <c r="W70" s="1" t="str">
        <f>IF(ISERR(AVERAGEIFS(Data!$K$14:$K$167,Data!$C$14:$C$167,Výpočty!A70,Data!$B$14:$B$167,"Rozšíření")),"",AVERAGEIFS(Data!$K$14:$K$167,Data!$C$14:$C$167,Výpočty!A70,Data!$B$14:$B$167,"Rozšíření"))</f>
        <v/>
      </c>
      <c r="X70" s="1" t="str">
        <f>IF(ISERR(AVERAGEIFS(Data!$L$14:$L$167,Data!$C$14:$C$167,Výpočty!A70,Data!$B$14:$B$167,"Rozšíření")),"",AVERAGEIFS(Data!$L$14:$L$167,Data!$C$14:$C$167,Výpočty!A70,Data!$B$14:$B$167,"Rozšíření"))</f>
        <v/>
      </c>
    </row>
    <row r="71" spans="1:24" x14ac:dyDescent="0.25">
      <c r="A71" s="50" t="s">
        <v>165</v>
      </c>
      <c r="B71" s="51">
        <f>AVERAGEIFS(Data!$H$14:$H$167,Data!$C$14:$C$167,A71,Data!$B$14:$B$167,"Hra")</f>
        <v>35.5</v>
      </c>
      <c r="C71" s="51">
        <f>IF(ISERR(AVERAGEIFS(Data!$H$14:$H$167,Data!$C$14:$C$167,A71,Data!$B$14:$B$167,"Rozšíření")),0,AVERAGEIFS(Data!$H$14:$H$167,Data!$C$14:$C$167,A71,Data!$B$14:$B$167,"Rozšíření"))</f>
        <v>0</v>
      </c>
      <c r="D71" s="52">
        <f t="shared" si="0"/>
        <v>92</v>
      </c>
      <c r="E71" s="52" t="str">
        <f t="shared" si="1"/>
        <v>-</v>
      </c>
      <c r="F71" s="60" t="str">
        <f t="shared" ca="1" si="2"/>
        <v>3 roky</v>
      </c>
      <c r="R71" s="23">
        <f>HLOOKUP("Datum vydání",Data!$A$13:$R$167,MATCH(A71,Data!$C$14:$C$167,0)+1,)</f>
        <v>42118</v>
      </c>
      <c r="S71" s="1" t="str">
        <f>IF(ISERR(AVERAGEIFS(Data!$J$14:$J$167,Data!$C$14:$C$167,Výpočty!A71,Data!$B$14:$B$167,"Hra")),"",AVERAGEIFS(Data!$J$14:$J$167,Data!$C$14:$C$167,Výpočty!A71,Data!$B$14:$B$167,"Hra"))</f>
        <v/>
      </c>
      <c r="T71" s="1" t="str">
        <f>IF(ISERR(AVERAGEIFS(Data!$K$14:$K$167,Data!$C$14:$C$167,Výpočty!A71,Data!$B$14:$B$167,"Hra")),"",AVERAGEIFS(Data!$K$14:$K$167,Data!$C$14:$C$167,Výpočty!A71,Data!$B$14:$B$167,"Hra"))</f>
        <v/>
      </c>
      <c r="U71" s="1">
        <f>IF(ISERR(AVERAGEIFS(Data!$L$14:$L$167,Data!$C$14:$C$167,Výpočty!A71,Data!$B$14:$B$167,"Hra")),"",AVERAGEIFS(Data!$L$14:$L$167,Data!$C$14:$C$167,Výpočty!A71,Data!$B$14:$B$167,"Hra"))</f>
        <v>92</v>
      </c>
      <c r="V71" s="1" t="str">
        <f>IF(ISERR(AVERAGEIFS(Data!$J$14:$J$167,Data!$C$14:$C$167,Výpočty!A71,Data!$B$14:$B$167,"Rozšíření")),"",AVERAGEIFS(Data!$J$14:$J$167,Data!$C$14:$C$167,Výpočty!A71,Data!$B$14:$B$167,"Rozšíření"))</f>
        <v/>
      </c>
      <c r="W71" s="1" t="str">
        <f>IF(ISERR(AVERAGEIFS(Data!$K$14:$K$167,Data!$C$14:$C$167,Výpočty!A71,Data!$B$14:$B$167,"Rozšíření")),"",AVERAGEIFS(Data!$K$14:$K$167,Data!$C$14:$C$167,Výpočty!A71,Data!$B$14:$B$167,"Rozšíření"))</f>
        <v/>
      </c>
      <c r="X71" s="1" t="str">
        <f>IF(ISERR(AVERAGEIFS(Data!$L$14:$L$167,Data!$C$14:$C$167,Výpočty!A71,Data!$B$14:$B$167,"Rozšíření")),"",AVERAGEIFS(Data!$L$14:$L$167,Data!$C$14:$C$167,Výpočty!A71,Data!$B$14:$B$167,"Rozšíření"))</f>
        <v/>
      </c>
    </row>
    <row r="72" spans="1:24" x14ac:dyDescent="0.25">
      <c r="A72" s="50" t="s">
        <v>253</v>
      </c>
      <c r="B72" s="51">
        <f>AVERAGEIFS(Data!$H$14:$H$167,Data!$C$14:$C$167,A72,Data!$B$14:$B$167,"Hra")</f>
        <v>9</v>
      </c>
      <c r="C72" s="51">
        <f>IF(ISERR(AVERAGEIFS(Data!$H$14:$H$167,Data!$C$14:$C$167,A72,Data!$B$14:$B$167,"Rozšíření")),0,AVERAGEIFS(Data!$H$14:$H$167,Data!$C$14:$C$167,A72,Data!$B$14:$B$167,"Rozšíření"))</f>
        <v>0</v>
      </c>
      <c r="D72" s="52">
        <f t="shared" si="0"/>
        <v>90.5</v>
      </c>
      <c r="E72" s="52" t="str">
        <f t="shared" si="1"/>
        <v>-</v>
      </c>
      <c r="F72" s="60" t="str">
        <f t="shared" ca="1" si="2"/>
        <v>3 roky</v>
      </c>
      <c r="R72" s="23">
        <f>HLOOKUP("Datum vydání",Data!$A$13:$R$167,MATCH(A72,Data!$C$14:$C$167,0)+1,)</f>
        <v>42104</v>
      </c>
      <c r="S72" s="1">
        <f>IF(ISERR(AVERAGEIFS(Data!$J$14:$J$167,Data!$C$14:$C$167,Výpočty!A72,Data!$B$14:$B$167,"Hra")),"",AVERAGEIFS(Data!$J$14:$J$167,Data!$C$14:$C$167,Výpočty!A72,Data!$B$14:$B$167,"Hra"))</f>
        <v>91</v>
      </c>
      <c r="T72" s="1" t="str">
        <f>IF(ISERR(AVERAGEIFS(Data!$K$14:$K$167,Data!$C$14:$C$167,Výpočty!A72,Data!$B$14:$B$167,"Hra")),"",AVERAGEIFS(Data!$K$14:$K$167,Data!$C$14:$C$167,Výpočty!A72,Data!$B$14:$B$167,"Hra"))</f>
        <v/>
      </c>
      <c r="U72" s="1">
        <f>IF(ISERR(AVERAGEIFS(Data!$L$14:$L$167,Data!$C$14:$C$167,Výpočty!A72,Data!$B$14:$B$167,"Hra")),"",AVERAGEIFS(Data!$L$14:$L$167,Data!$C$14:$C$167,Výpočty!A72,Data!$B$14:$B$167,"Hra"))</f>
        <v>90</v>
      </c>
      <c r="V72" s="1" t="str">
        <f>IF(ISERR(AVERAGEIFS(Data!$J$14:$J$167,Data!$C$14:$C$167,Výpočty!A72,Data!$B$14:$B$167,"Rozšíření")),"",AVERAGEIFS(Data!$J$14:$J$167,Data!$C$14:$C$167,Výpočty!A72,Data!$B$14:$B$167,"Rozšíření"))</f>
        <v/>
      </c>
      <c r="W72" s="1" t="str">
        <f>IF(ISERR(AVERAGEIFS(Data!$K$14:$K$167,Data!$C$14:$C$167,Výpočty!A72,Data!$B$14:$B$167,"Rozšíření")),"",AVERAGEIFS(Data!$K$14:$K$167,Data!$C$14:$C$167,Výpočty!A72,Data!$B$14:$B$167,"Rozšíření"))</f>
        <v/>
      </c>
      <c r="X72" s="1" t="str">
        <f>IF(ISERR(AVERAGEIFS(Data!$L$14:$L$167,Data!$C$14:$C$167,Výpočty!A72,Data!$B$14:$B$167,"Rozšíření")),"",AVERAGEIFS(Data!$L$14:$L$167,Data!$C$14:$C$167,Výpočty!A72,Data!$B$14:$B$167,"Rozšíření"))</f>
        <v/>
      </c>
    </row>
    <row r="73" spans="1:24" x14ac:dyDescent="0.25">
      <c r="A73" s="50" t="s">
        <v>422</v>
      </c>
      <c r="B73" s="51">
        <f>AVERAGEIFS(Data!$H$14:$H$167,Data!$C$14:$C$167,A73,Data!$B$14:$B$167,"Hra")</f>
        <v>7</v>
      </c>
      <c r="C73" s="51">
        <f>IF(ISERR(AVERAGEIFS(Data!$H$14:$H$167,Data!$C$14:$C$167,A73,Data!$B$14:$B$167,"Rozšíření")),0,AVERAGEIFS(Data!$H$14:$H$167,Data!$C$14:$C$167,A73,Data!$B$14:$B$167,"Rozšíření"))</f>
        <v>0</v>
      </c>
      <c r="D73" s="52">
        <f t="shared" si="0"/>
        <v>88</v>
      </c>
      <c r="E73" s="52" t="str">
        <f t="shared" si="1"/>
        <v>-</v>
      </c>
      <c r="F73" s="60" t="str">
        <f t="shared" ca="1" si="2"/>
        <v>3 roky</v>
      </c>
      <c r="R73" s="23">
        <f>HLOOKUP("Datum vydání",Data!$A$13:$R$167,MATCH(A73,Data!$C$14:$C$167,0)+1,)</f>
        <v>42055</v>
      </c>
      <c r="S73" s="1" t="str">
        <f>IF(ISERR(AVERAGEIFS(Data!$J$14:$J$167,Data!$C$14:$C$167,Výpočty!A73,Data!$B$14:$B$167,"Hra")),"",AVERAGEIFS(Data!$J$14:$J$167,Data!$C$14:$C$167,Výpočty!A73,Data!$B$14:$B$167,"Hra"))</f>
        <v/>
      </c>
      <c r="T73" s="1" t="str">
        <f>IF(ISERR(AVERAGEIFS(Data!$K$14:$K$167,Data!$C$14:$C$167,Výpočty!A73,Data!$B$14:$B$167,"Hra")),"",AVERAGEIFS(Data!$K$14:$K$167,Data!$C$14:$C$167,Výpočty!A73,Data!$B$14:$B$167,"Hra"))</f>
        <v/>
      </c>
      <c r="U73" s="1">
        <f>IF(ISERR(AVERAGEIFS(Data!$L$14:$L$167,Data!$C$14:$C$167,Výpočty!A73,Data!$B$14:$B$167,"Hra")),"",AVERAGEIFS(Data!$L$14:$L$167,Data!$C$14:$C$167,Výpočty!A73,Data!$B$14:$B$167,"Hra"))</f>
        <v>88</v>
      </c>
      <c r="V73" s="1" t="str">
        <f>IF(ISERR(AVERAGEIFS(Data!$J$14:$J$167,Data!$C$14:$C$167,Výpočty!A73,Data!$B$14:$B$167,"Rozšíření")),"",AVERAGEIFS(Data!$J$14:$J$167,Data!$C$14:$C$167,Výpočty!A73,Data!$B$14:$B$167,"Rozšíření"))</f>
        <v/>
      </c>
      <c r="W73" s="1" t="str">
        <f>IF(ISERR(AVERAGEIFS(Data!$K$14:$K$167,Data!$C$14:$C$167,Výpočty!A73,Data!$B$14:$B$167,"Rozšíření")),"",AVERAGEIFS(Data!$K$14:$K$167,Data!$C$14:$C$167,Výpočty!A73,Data!$B$14:$B$167,"Rozšíření"))</f>
        <v/>
      </c>
      <c r="X73" s="1" t="str">
        <f>IF(ISERR(AVERAGEIFS(Data!$L$14:$L$167,Data!$C$14:$C$167,Výpočty!A73,Data!$B$14:$B$167,"Rozšíření")),"",AVERAGEIFS(Data!$L$14:$L$167,Data!$C$14:$C$167,Výpočty!A73,Data!$B$14:$B$167,"Rozšíření"))</f>
        <v/>
      </c>
    </row>
    <row r="74" spans="1:24" x14ac:dyDescent="0.25">
      <c r="A74" s="50" t="s">
        <v>199</v>
      </c>
      <c r="B74" s="51">
        <f>AVERAGEIFS(Data!$H$14:$H$167,Data!$C$14:$C$167,A74,Data!$B$14:$B$167,"Hra")</f>
        <v>18</v>
      </c>
      <c r="C74" s="51">
        <f>IF(ISERR(AVERAGEIFS(Data!$H$14:$H$167,Data!$C$14:$C$167,A74,Data!$B$14:$B$167,"Rozšíření")),0,AVERAGEIFS(Data!$H$14:$H$167,Data!$C$14:$C$167,A74,Data!$B$14:$B$167,"Rozšíření"))</f>
        <v>0</v>
      </c>
      <c r="D74" s="52">
        <f t="shared" si="0"/>
        <v>89.333333333333329</v>
      </c>
      <c r="E74" s="52" t="str">
        <f t="shared" si="1"/>
        <v>-</v>
      </c>
      <c r="F74" s="60" t="str">
        <f t="shared" ca="1" si="2"/>
        <v>3 roky</v>
      </c>
      <c r="R74" s="23">
        <f>HLOOKUP("Datum vydání",Data!$A$13:$R$167,MATCH(A74,Data!$C$14:$C$167,0)+1,)</f>
        <v>42031</v>
      </c>
      <c r="S74" s="1">
        <f>IF(ISERR(AVERAGEIFS(Data!$J$14:$J$167,Data!$C$14:$C$167,Výpočty!A74,Data!$B$14:$B$167,"Hra")),"",AVERAGEIFS(Data!$J$14:$J$167,Data!$C$14:$C$167,Výpočty!A74,Data!$B$14:$B$167,"Hra"))</f>
        <v>92</v>
      </c>
      <c r="T74" s="1">
        <f>IF(ISERR(AVERAGEIFS(Data!$K$14:$K$167,Data!$C$14:$C$167,Výpočty!A74,Data!$B$14:$B$167,"Hra")),"",AVERAGEIFS(Data!$K$14:$K$167,Data!$C$14:$C$167,Výpočty!A74,Data!$B$14:$B$167,"Hra"))</f>
        <v>86</v>
      </c>
      <c r="U74" s="1">
        <f>IF(ISERR(AVERAGEIFS(Data!$L$14:$L$167,Data!$C$14:$C$167,Výpočty!A74,Data!$B$14:$B$167,"Hra")),"",AVERAGEIFS(Data!$L$14:$L$167,Data!$C$14:$C$167,Výpočty!A74,Data!$B$14:$B$167,"Hra"))</f>
        <v>90</v>
      </c>
      <c r="V74" s="1" t="str">
        <f>IF(ISERR(AVERAGEIFS(Data!$J$14:$J$167,Data!$C$14:$C$167,Výpočty!A74,Data!$B$14:$B$167,"Rozšíření")),"",AVERAGEIFS(Data!$J$14:$J$167,Data!$C$14:$C$167,Výpočty!A74,Data!$B$14:$B$167,"Rozšíření"))</f>
        <v/>
      </c>
      <c r="W74" s="1" t="str">
        <f>IF(ISERR(AVERAGEIFS(Data!$K$14:$K$167,Data!$C$14:$C$167,Výpočty!A74,Data!$B$14:$B$167,"Rozšíření")),"",AVERAGEIFS(Data!$K$14:$K$167,Data!$C$14:$C$167,Výpočty!A74,Data!$B$14:$B$167,"Rozšíření"))</f>
        <v/>
      </c>
      <c r="X74" s="1" t="str">
        <f>IF(ISERR(AVERAGEIFS(Data!$L$14:$L$167,Data!$C$14:$C$167,Výpočty!A74,Data!$B$14:$B$167,"Rozšíření")),"",AVERAGEIFS(Data!$L$14:$L$167,Data!$C$14:$C$167,Výpočty!A74,Data!$B$14:$B$167,"Rozšíření"))</f>
        <v/>
      </c>
    </row>
    <row r="75" spans="1:24" x14ac:dyDescent="0.25">
      <c r="A75" s="50" t="s">
        <v>161</v>
      </c>
      <c r="B75" s="51">
        <f>AVERAGEIFS(Data!$H$14:$H$167,Data!$C$14:$C$167,A75,Data!$B$14:$B$167,"Hra")</f>
        <v>9.5</v>
      </c>
      <c r="C75" s="51">
        <f>IF(ISERR(AVERAGEIFS(Data!$H$14:$H$167,Data!$C$14:$C$167,A75,Data!$B$14:$B$167,"Rozšíření")),0,AVERAGEIFS(Data!$H$14:$H$167,Data!$C$14:$C$167,A75,Data!$B$14:$B$167,"Rozšíření"))</f>
        <v>0</v>
      </c>
      <c r="D75" s="52">
        <f t="shared" si="0"/>
        <v>95.333333333333329</v>
      </c>
      <c r="E75" s="52" t="str">
        <f t="shared" si="1"/>
        <v>-</v>
      </c>
      <c r="F75" s="60" t="str">
        <f t="shared" ca="1" si="2"/>
        <v>4 roky</v>
      </c>
      <c r="R75" s="23">
        <f>HLOOKUP("Datum vydání",Data!$A$13:$R$167,MATCH(A75,Data!$C$14:$C$167,0)+1,)</f>
        <v>41968</v>
      </c>
      <c r="S75" s="1">
        <f>IF(ISERR(AVERAGEIFS(Data!$J$14:$J$167,Data!$C$14:$C$167,Výpočty!A75,Data!$B$14:$B$167,"Hra")),"",AVERAGEIFS(Data!$J$14:$J$167,Data!$C$14:$C$167,Výpočty!A75,Data!$B$14:$B$167,"Hra"))</f>
        <v>96</v>
      </c>
      <c r="T75" s="1">
        <f>IF(ISERR(AVERAGEIFS(Data!$K$14:$K$167,Data!$C$14:$C$167,Výpočty!A75,Data!$B$14:$B$167,"Hra")),"",AVERAGEIFS(Data!$K$14:$K$167,Data!$C$14:$C$167,Výpočty!A75,Data!$B$14:$B$167,"Hra"))</f>
        <v>95</v>
      </c>
      <c r="U75" s="1">
        <f>IF(ISERR(AVERAGEIFS(Data!$L$14:$L$167,Data!$C$14:$C$167,Výpočty!A75,Data!$B$14:$B$167,"Hra")),"",AVERAGEIFS(Data!$L$14:$L$167,Data!$C$14:$C$167,Výpočty!A75,Data!$B$14:$B$167,"Hra"))</f>
        <v>95</v>
      </c>
      <c r="V75" s="1" t="str">
        <f>IF(ISERR(AVERAGEIFS(Data!$J$14:$J$167,Data!$C$14:$C$167,Výpočty!A75,Data!$B$14:$B$167,"Rozšíření")),"",AVERAGEIFS(Data!$J$14:$J$167,Data!$C$14:$C$167,Výpočty!A75,Data!$B$14:$B$167,"Rozšíření"))</f>
        <v/>
      </c>
      <c r="W75" s="1" t="str">
        <f>IF(ISERR(AVERAGEIFS(Data!$K$14:$K$167,Data!$C$14:$C$167,Výpočty!A75,Data!$B$14:$B$167,"Rozšíření")),"",AVERAGEIFS(Data!$K$14:$K$167,Data!$C$14:$C$167,Výpočty!A75,Data!$B$14:$B$167,"Rozšíření"))</f>
        <v/>
      </c>
      <c r="X75" s="1" t="str">
        <f>IF(ISERR(AVERAGEIFS(Data!$L$14:$L$167,Data!$C$14:$C$167,Výpočty!A75,Data!$B$14:$B$167,"Rozšíření")),"",AVERAGEIFS(Data!$L$14:$L$167,Data!$C$14:$C$167,Výpočty!A75,Data!$B$14:$B$167,"Rozšíření"))</f>
        <v/>
      </c>
    </row>
    <row r="76" spans="1:24" x14ac:dyDescent="0.25">
      <c r="A76" s="50" t="s">
        <v>345</v>
      </c>
      <c r="B76" s="51">
        <f>AVERAGEIFS(Data!$H$14:$H$167,Data!$C$14:$C$167,A76,Data!$B$14:$B$167,"Hra")</f>
        <v>10.5</v>
      </c>
      <c r="C76" s="51">
        <f>IF(ISERR(AVERAGEIFS(Data!$H$14:$H$167,Data!$C$14:$C$167,A76,Data!$B$14:$B$167,"Rozšíření")),0,AVERAGEIFS(Data!$H$14:$H$167,Data!$C$14:$C$167,A76,Data!$B$14:$B$167,"Rozšíření"))</f>
        <v>0</v>
      </c>
      <c r="D76" s="52">
        <f t="shared" si="0"/>
        <v>87.333333333333329</v>
      </c>
      <c r="E76" s="52" t="str">
        <f t="shared" si="1"/>
        <v>-</v>
      </c>
      <c r="F76" s="60" t="str">
        <f t="shared" ca="1" si="2"/>
        <v>4 roky</v>
      </c>
      <c r="R76" s="23">
        <f>HLOOKUP("Datum vydání",Data!$A$13:$R$167,MATCH(A76,Data!$C$14:$C$167,0)+1,)</f>
        <v>41956</v>
      </c>
      <c r="S76" s="1">
        <f>IF(ISERR(AVERAGEIFS(Data!$J$14:$J$167,Data!$C$14:$C$167,Výpočty!A76,Data!$B$14:$B$167,"Hra")),"",AVERAGEIFS(Data!$J$14:$J$167,Data!$C$14:$C$167,Výpočty!A76,Data!$B$14:$B$167,"Hra"))</f>
        <v>80</v>
      </c>
      <c r="T76" s="1">
        <f>IF(ISERR(AVERAGEIFS(Data!$K$14:$K$167,Data!$C$14:$C$167,Výpočty!A76,Data!$B$14:$B$167,"Hra")),"",AVERAGEIFS(Data!$K$14:$K$167,Data!$C$14:$C$167,Výpočty!A76,Data!$B$14:$B$167,"Hra"))</f>
        <v>92</v>
      </c>
      <c r="U76" s="1">
        <f>IF(ISERR(AVERAGEIFS(Data!$L$14:$L$167,Data!$C$14:$C$167,Výpočty!A76,Data!$B$14:$B$167,"Hra")),"",AVERAGEIFS(Data!$L$14:$L$167,Data!$C$14:$C$167,Výpočty!A76,Data!$B$14:$B$167,"Hra"))</f>
        <v>90</v>
      </c>
      <c r="V76" s="1" t="str">
        <f>IF(ISERR(AVERAGEIFS(Data!$J$14:$J$167,Data!$C$14:$C$167,Výpočty!A76,Data!$B$14:$B$167,"Rozšíření")),"",AVERAGEIFS(Data!$J$14:$J$167,Data!$C$14:$C$167,Výpočty!A76,Data!$B$14:$B$167,"Rozšíření"))</f>
        <v/>
      </c>
      <c r="W76" s="1" t="str">
        <f>IF(ISERR(AVERAGEIFS(Data!$K$14:$K$167,Data!$C$14:$C$167,Výpočty!A76,Data!$B$14:$B$167,"Rozšíření")),"",AVERAGEIFS(Data!$K$14:$K$167,Data!$C$14:$C$167,Výpočty!A76,Data!$B$14:$B$167,"Rozšíření"))</f>
        <v/>
      </c>
      <c r="X76" s="1" t="str">
        <f>IF(ISERR(AVERAGEIFS(Data!$L$14:$L$167,Data!$C$14:$C$167,Výpočty!A76,Data!$B$14:$B$167,"Rozšíření")),"",AVERAGEIFS(Data!$L$14:$L$167,Data!$C$14:$C$167,Výpočty!A76,Data!$B$14:$B$167,"Rozšíření"))</f>
        <v/>
      </c>
    </row>
    <row r="77" spans="1:24" x14ac:dyDescent="0.25">
      <c r="A77" s="50" t="s">
        <v>191</v>
      </c>
      <c r="B77" s="51">
        <f>AVERAGEIFS(Data!$H$14:$H$167,Data!$C$14:$C$167,A77,Data!$B$14:$B$167,"Hra")</f>
        <v>18.5</v>
      </c>
      <c r="C77" s="51">
        <f>IF(ISERR(AVERAGEIFS(Data!$H$14:$H$167,Data!$C$14:$C$167,A77,Data!$B$14:$B$167,"Rozšíření")),0,AVERAGEIFS(Data!$H$14:$H$167,Data!$C$14:$C$167,A77,Data!$B$14:$B$167,"Rozšíření"))</f>
        <v>0</v>
      </c>
      <c r="D77" s="52">
        <f t="shared" si="0"/>
        <v>90.333333333333329</v>
      </c>
      <c r="E77" s="52" t="str">
        <f t="shared" si="1"/>
        <v>-</v>
      </c>
      <c r="F77" s="60" t="str">
        <f t="shared" ca="1" si="2"/>
        <v>4 roky</v>
      </c>
      <c r="R77" s="23">
        <f>HLOOKUP("Datum vydání",Data!$A$13:$R$167,MATCH(A77,Data!$C$14:$C$167,0)+1,)</f>
        <v>41919</v>
      </c>
      <c r="S77" s="1">
        <f>IF(ISERR(AVERAGEIFS(Data!$J$14:$J$167,Data!$C$14:$C$167,Výpočty!A77,Data!$B$14:$B$167,"Hra")),"",AVERAGEIFS(Data!$J$14:$J$167,Data!$C$14:$C$167,Výpočty!A77,Data!$B$14:$B$167,"Hra"))</f>
        <v>91</v>
      </c>
      <c r="T77" s="1">
        <f>IF(ISERR(AVERAGEIFS(Data!$K$14:$K$167,Data!$C$14:$C$167,Výpočty!A77,Data!$B$14:$B$167,"Hra")),"",AVERAGEIFS(Data!$K$14:$K$167,Data!$C$14:$C$167,Výpočty!A77,Data!$B$14:$B$167,"Hra"))</f>
        <v>88</v>
      </c>
      <c r="U77" s="1">
        <f>IF(ISERR(AVERAGEIFS(Data!$L$14:$L$167,Data!$C$14:$C$167,Výpočty!A77,Data!$B$14:$B$167,"Hra")),"",AVERAGEIFS(Data!$L$14:$L$167,Data!$C$14:$C$167,Výpočty!A77,Data!$B$14:$B$167,"Hra"))</f>
        <v>92</v>
      </c>
      <c r="V77" s="1" t="str">
        <f>IF(ISERR(AVERAGEIFS(Data!$J$14:$J$167,Data!$C$14:$C$167,Výpočty!A77,Data!$B$14:$B$167,"Rozšíření")),"",AVERAGEIFS(Data!$J$14:$J$167,Data!$C$14:$C$167,Výpočty!A77,Data!$B$14:$B$167,"Rozšíření"))</f>
        <v/>
      </c>
      <c r="W77" s="1" t="str">
        <f>IF(ISERR(AVERAGEIFS(Data!$K$14:$K$167,Data!$C$14:$C$167,Výpočty!A77,Data!$B$14:$B$167,"Rozšíření")),"",AVERAGEIFS(Data!$K$14:$K$167,Data!$C$14:$C$167,Výpočty!A77,Data!$B$14:$B$167,"Rozšíření"))</f>
        <v/>
      </c>
      <c r="X77" s="1" t="str">
        <f>IF(ISERR(AVERAGEIFS(Data!$L$14:$L$167,Data!$C$14:$C$167,Výpočty!A77,Data!$B$14:$B$167,"Rozšíření")),"",AVERAGEIFS(Data!$L$14:$L$167,Data!$C$14:$C$167,Výpočty!A77,Data!$B$14:$B$167,"Rozšíření"))</f>
        <v/>
      </c>
    </row>
    <row r="78" spans="1:24" x14ac:dyDescent="0.25">
      <c r="A78" s="50" t="s">
        <v>315</v>
      </c>
      <c r="B78" s="51">
        <f>AVERAGEIFS(Data!$H$14:$H$167,Data!$C$14:$C$167,A78,Data!$B$14:$B$167,"Hra")</f>
        <v>4.5</v>
      </c>
      <c r="C78" s="51">
        <f>IF(ISERR(AVERAGEIFS(Data!$H$14:$H$167,Data!$C$14:$C$167,A78,Data!$B$14:$B$167,"Rozšíření")),0,AVERAGEIFS(Data!$H$14:$H$167,Data!$C$14:$C$167,A78,Data!$B$14:$B$167,"Rozšíření"))</f>
        <v>0</v>
      </c>
      <c r="D78" s="52">
        <f t="shared" si="0"/>
        <v>80.5</v>
      </c>
      <c r="E78" s="52" t="str">
        <f t="shared" si="1"/>
        <v>-</v>
      </c>
      <c r="F78" s="60" t="str">
        <f t="shared" ca="1" si="2"/>
        <v>4 roky</v>
      </c>
      <c r="R78" s="23">
        <f>HLOOKUP("Datum vydání",Data!$A$13:$R$167,MATCH(A78,Data!$C$14:$C$167,0)+1,)</f>
        <v>41900</v>
      </c>
      <c r="S78" s="1">
        <f>IF(ISERR(AVERAGEIFS(Data!$J$14:$J$167,Data!$C$14:$C$167,Výpočty!A78,Data!$B$14:$B$167,"Hra")),"",AVERAGEIFS(Data!$J$14:$J$167,Data!$C$14:$C$167,Výpočty!A78,Data!$B$14:$B$167,"Hra"))</f>
        <v>81</v>
      </c>
      <c r="T78" s="1">
        <f>IF(ISERR(AVERAGEIFS(Data!$K$14:$K$167,Data!$C$14:$C$167,Výpočty!A78,Data!$B$14:$B$167,"Hra")),"",AVERAGEIFS(Data!$K$14:$K$167,Data!$C$14:$C$167,Výpočty!A78,Data!$B$14:$B$167,"Hra"))</f>
        <v>80</v>
      </c>
      <c r="U78" s="1" t="str">
        <f>IF(ISERR(AVERAGEIFS(Data!$L$14:$L$167,Data!$C$14:$C$167,Výpočty!A78,Data!$B$14:$B$167,"Hra")),"",AVERAGEIFS(Data!$L$14:$L$167,Data!$C$14:$C$167,Výpočty!A78,Data!$B$14:$B$167,"Hra"))</f>
        <v/>
      </c>
      <c r="V78" s="1" t="str">
        <f>IF(ISERR(AVERAGEIFS(Data!$J$14:$J$167,Data!$C$14:$C$167,Výpočty!A78,Data!$B$14:$B$167,"Rozšíření")),"",AVERAGEIFS(Data!$J$14:$J$167,Data!$C$14:$C$167,Výpočty!A78,Data!$B$14:$B$167,"Rozšíření"))</f>
        <v/>
      </c>
      <c r="W78" s="1" t="str">
        <f>IF(ISERR(AVERAGEIFS(Data!$K$14:$K$167,Data!$C$14:$C$167,Výpočty!A78,Data!$B$14:$B$167,"Rozšíření")),"",AVERAGEIFS(Data!$K$14:$K$167,Data!$C$14:$C$167,Výpočty!A78,Data!$B$14:$B$167,"Rozšíření"))</f>
        <v/>
      </c>
      <c r="X78" s="1" t="str">
        <f>IF(ISERR(AVERAGEIFS(Data!$L$14:$L$167,Data!$C$14:$C$167,Výpočty!A78,Data!$B$14:$B$167,"Rozšíření")),"",AVERAGEIFS(Data!$L$14:$L$167,Data!$C$14:$C$167,Výpočty!A78,Data!$B$14:$B$167,"Rozšíření"))</f>
        <v/>
      </c>
    </row>
    <row r="79" spans="1:24" x14ac:dyDescent="0.25">
      <c r="A79" s="50" t="s">
        <v>278</v>
      </c>
      <c r="B79" s="51">
        <f>AVERAGEIFS(Data!$H$14:$H$167,Data!$C$14:$C$167,A79,Data!$B$14:$B$167,"Hra")</f>
        <v>6.5</v>
      </c>
      <c r="C79" s="51">
        <f>IF(ISERR(AVERAGEIFS(Data!$H$14:$H$167,Data!$C$14:$C$167,A79,Data!$B$14:$B$167,"Rozšíření")),0,AVERAGEIFS(Data!$H$14:$H$167,Data!$C$14:$C$167,A79,Data!$B$14:$B$167,"Rozšíření"))</f>
        <v>0</v>
      </c>
      <c r="D79" s="52">
        <f t="shared" si="0"/>
        <v>92.333333333333329</v>
      </c>
      <c r="E79" s="52" t="str">
        <f t="shared" si="1"/>
        <v>-</v>
      </c>
      <c r="F79" s="60" t="str">
        <f t="shared" ca="1" si="2"/>
        <v>4 roky</v>
      </c>
      <c r="R79" s="23">
        <f>HLOOKUP("Datum vydání",Data!$A$13:$R$167,MATCH(A79,Data!$C$14:$C$167,0)+1,)</f>
        <v>41815</v>
      </c>
      <c r="S79" s="1">
        <f>IF(ISERR(AVERAGEIFS(Data!$J$14:$J$167,Data!$C$14:$C$167,Výpočty!A79,Data!$B$14:$B$167,"Hra")),"",AVERAGEIFS(Data!$J$14:$J$167,Data!$C$14:$C$167,Výpočty!A79,Data!$B$14:$B$167,"Hra"))</f>
        <v>95</v>
      </c>
      <c r="T79" s="1">
        <f>IF(ISERR(AVERAGEIFS(Data!$K$14:$K$167,Data!$C$14:$C$167,Výpočty!A79,Data!$B$14:$B$167,"Hra")),"",AVERAGEIFS(Data!$K$14:$K$167,Data!$C$14:$C$167,Výpočty!A79,Data!$B$14:$B$167,"Hra"))</f>
        <v>92</v>
      </c>
      <c r="U79" s="1">
        <f>IF(ISERR(AVERAGEIFS(Data!$L$14:$L$167,Data!$C$14:$C$167,Výpočty!A79,Data!$B$14:$B$167,"Hra")),"",AVERAGEIFS(Data!$L$14:$L$167,Data!$C$14:$C$167,Výpočty!A79,Data!$B$14:$B$167,"Hra"))</f>
        <v>90</v>
      </c>
      <c r="V79" s="1" t="str">
        <f>IF(ISERR(AVERAGEIFS(Data!$J$14:$J$167,Data!$C$14:$C$167,Výpočty!A79,Data!$B$14:$B$167,"Rozšíření")),"",AVERAGEIFS(Data!$J$14:$J$167,Data!$C$14:$C$167,Výpočty!A79,Data!$B$14:$B$167,"Rozšíření"))</f>
        <v/>
      </c>
      <c r="W79" s="1" t="str">
        <f>IF(ISERR(AVERAGEIFS(Data!$K$14:$K$167,Data!$C$14:$C$167,Výpočty!A79,Data!$B$14:$B$167,"Rozšíření")),"",AVERAGEIFS(Data!$K$14:$K$167,Data!$C$14:$C$167,Výpočty!A79,Data!$B$14:$B$167,"Rozšíření"))</f>
        <v/>
      </c>
      <c r="X79" s="1" t="str">
        <f>IF(ISERR(AVERAGEIFS(Data!$L$14:$L$167,Data!$C$14:$C$167,Výpočty!A79,Data!$B$14:$B$167,"Rozšíření")),"",AVERAGEIFS(Data!$L$14:$L$167,Data!$C$14:$C$167,Výpočty!A79,Data!$B$14:$B$167,"Rozšíření"))</f>
        <v/>
      </c>
    </row>
    <row r="80" spans="1:24" x14ac:dyDescent="0.25">
      <c r="A80" s="50" t="s">
        <v>41</v>
      </c>
      <c r="B80" s="51">
        <f>AVERAGEIFS(Data!$H$14:$H$167,Data!$C$14:$C$167,A80,Data!$B$14:$B$167,"Hra")</f>
        <v>12.05</v>
      </c>
      <c r="C80" s="51">
        <f>IF(ISERR(AVERAGEIFS(Data!$H$14:$H$167,Data!$C$14:$C$167,A80,Data!$B$14:$B$167,"Rozšíření")),0,AVERAGEIFS(Data!$H$14:$H$167,Data!$C$14:$C$167,A80,Data!$B$14:$B$167,"Rozšíření"))</f>
        <v>3.15</v>
      </c>
      <c r="D80" s="52">
        <f t="shared" si="0"/>
        <v>93.5</v>
      </c>
      <c r="E80" s="52">
        <f t="shared" si="1"/>
        <v>88.166666666666671</v>
      </c>
      <c r="F80" s="60" t="str">
        <f t="shared" ca="1" si="2"/>
        <v>4 roky</v>
      </c>
      <c r="R80" s="23">
        <f>HLOOKUP("Datum vydání",Data!$A$13:$R$167,MATCH(A80,Data!$C$14:$C$167,0)+1,)</f>
        <v>41754</v>
      </c>
      <c r="S80" s="1">
        <f>IF(ISERR(AVERAGEIFS(Data!$J$14:$J$167,Data!$C$14:$C$167,Výpočty!A80,Data!$B$14:$B$167,"Hra")),"",AVERAGEIFS(Data!$J$14:$J$167,Data!$C$14:$C$167,Výpočty!A80,Data!$B$14:$B$167,"Hra"))</f>
        <v>94.5</v>
      </c>
      <c r="T80" s="1">
        <f>IF(ISERR(AVERAGEIFS(Data!$K$14:$K$167,Data!$C$14:$C$167,Výpočty!A80,Data!$B$14:$B$167,"Hra")),"",AVERAGEIFS(Data!$K$14:$K$167,Data!$C$14:$C$167,Výpočty!A80,Data!$B$14:$B$167,"Hra"))</f>
        <v>96</v>
      </c>
      <c r="U80" s="1">
        <f>IF(ISERR(AVERAGEIFS(Data!$L$14:$L$167,Data!$C$14:$C$167,Výpočty!A80,Data!$B$14:$B$167,"Hra")),"",AVERAGEIFS(Data!$L$14:$L$167,Data!$C$14:$C$167,Výpočty!A80,Data!$B$14:$B$167,"Hra"))</f>
        <v>90</v>
      </c>
      <c r="V80" s="1">
        <f>IF(ISERR(AVERAGEIFS(Data!$J$14:$J$167,Data!$C$14:$C$167,Výpočty!A80,Data!$B$14:$B$167,"Rozšíření")),"",AVERAGEIFS(Data!$J$14:$J$167,Data!$C$14:$C$167,Výpočty!A80,Data!$B$14:$B$167,"Rozšíření"))</f>
        <v>83.5</v>
      </c>
      <c r="W80" s="1">
        <f>IF(ISERR(AVERAGEIFS(Data!$K$14:$K$167,Data!$C$14:$C$167,Výpočty!A80,Data!$B$14:$B$167,"Rozšíření")),"",AVERAGEIFS(Data!$K$14:$K$167,Data!$C$14:$C$167,Výpočty!A80,Data!$B$14:$B$167,"Rozšíření"))</f>
        <v>83.5</v>
      </c>
      <c r="X80" s="1">
        <f>IF(ISERR(AVERAGEIFS(Data!$L$14:$L$167,Data!$C$14:$C$167,Výpočty!A80,Data!$B$14:$B$167,"Rozšíření")),"",AVERAGEIFS(Data!$L$14:$L$167,Data!$C$14:$C$167,Výpočty!A80,Data!$B$14:$B$167,"Rozšíření"))</f>
        <v>97.5</v>
      </c>
    </row>
    <row r="81" spans="1:24" x14ac:dyDescent="0.25">
      <c r="A81" s="50" t="s">
        <v>231</v>
      </c>
      <c r="B81" s="51">
        <f>AVERAGEIFS(Data!$H$14:$H$167,Data!$C$14:$C$167,A81,Data!$B$14:$B$167,"Hra")</f>
        <v>7</v>
      </c>
      <c r="C81" s="51">
        <f>IF(ISERR(AVERAGEIFS(Data!$H$14:$H$167,Data!$C$14:$C$167,A81,Data!$B$14:$B$167,"Rozšíření")),0,AVERAGEIFS(Data!$H$14:$H$167,Data!$C$14:$C$167,A81,Data!$B$14:$B$167,"Rozšíření"))</f>
        <v>0</v>
      </c>
      <c r="D81" s="52">
        <f t="shared" si="0"/>
        <v>93</v>
      </c>
      <c r="E81" s="52" t="str">
        <f t="shared" si="1"/>
        <v>-</v>
      </c>
      <c r="F81" s="60" t="str">
        <f t="shared" ca="1" si="2"/>
        <v>4 roky</v>
      </c>
      <c r="R81" s="23">
        <f>HLOOKUP("Datum vydání",Data!$A$13:$R$167,MATCH(A81,Data!$C$14:$C$167,0)+1,)</f>
        <v>41705</v>
      </c>
      <c r="S81" s="1">
        <f>IF(ISERR(AVERAGEIFS(Data!$J$14:$J$167,Data!$C$14:$C$167,Výpočty!A81,Data!$B$14:$B$167,"Hra")),"",AVERAGEIFS(Data!$J$14:$J$167,Data!$C$14:$C$167,Výpočty!A81,Data!$B$14:$B$167,"Hra"))</f>
        <v>96</v>
      </c>
      <c r="T81" s="1" t="str">
        <f>IF(ISERR(AVERAGEIFS(Data!$K$14:$K$167,Data!$C$14:$C$167,Výpočty!A81,Data!$B$14:$B$167,"Hra")),"",AVERAGEIFS(Data!$K$14:$K$167,Data!$C$14:$C$167,Výpočty!A81,Data!$B$14:$B$167,"Hra"))</f>
        <v/>
      </c>
      <c r="U81" s="1">
        <f>IF(ISERR(AVERAGEIFS(Data!$L$14:$L$167,Data!$C$14:$C$167,Výpočty!A81,Data!$B$14:$B$167,"Hra")),"",AVERAGEIFS(Data!$L$14:$L$167,Data!$C$14:$C$167,Výpočty!A81,Data!$B$14:$B$167,"Hra"))</f>
        <v>90</v>
      </c>
      <c r="V81" s="1" t="str">
        <f>IF(ISERR(AVERAGEIFS(Data!$J$14:$J$167,Data!$C$14:$C$167,Výpočty!A81,Data!$B$14:$B$167,"Rozšíření")),"",AVERAGEIFS(Data!$J$14:$J$167,Data!$C$14:$C$167,Výpočty!A81,Data!$B$14:$B$167,"Rozšíření"))</f>
        <v/>
      </c>
      <c r="W81" s="1" t="str">
        <f>IF(ISERR(AVERAGEIFS(Data!$K$14:$K$167,Data!$C$14:$C$167,Výpočty!A81,Data!$B$14:$B$167,"Rozšíření")),"",AVERAGEIFS(Data!$K$14:$K$167,Data!$C$14:$C$167,Výpočty!A81,Data!$B$14:$B$167,"Rozšíření"))</f>
        <v/>
      </c>
      <c r="X81" s="1" t="str">
        <f>IF(ISERR(AVERAGEIFS(Data!$L$14:$L$167,Data!$C$14:$C$167,Výpočty!A81,Data!$B$14:$B$167,"Rozšíření")),"",AVERAGEIFS(Data!$L$14:$L$167,Data!$C$14:$C$167,Výpočty!A81,Data!$B$14:$B$167,"Rozšíření"))</f>
        <v/>
      </c>
    </row>
    <row r="82" spans="1:24" x14ac:dyDescent="0.25">
      <c r="A82" s="50" t="s">
        <v>204</v>
      </c>
      <c r="B82" s="51">
        <f>AVERAGEIFS(Data!$H$14:$H$167,Data!$C$14:$C$167,A82,Data!$B$14:$B$167,"Hra")</f>
        <v>10</v>
      </c>
      <c r="C82" s="51">
        <f>IF(ISERR(AVERAGEIFS(Data!$H$14:$H$167,Data!$C$14:$C$167,A82,Data!$B$14:$B$167,"Rozšíření")),0,AVERAGEIFS(Data!$H$14:$H$167,Data!$C$14:$C$167,A82,Data!$B$14:$B$167,"Rozšíření"))</f>
        <v>0</v>
      </c>
      <c r="D82" s="52">
        <f t="shared" si="0"/>
        <v>82.75</v>
      </c>
      <c r="E82" s="52" t="str">
        <f t="shared" si="1"/>
        <v>-</v>
      </c>
      <c r="F82" s="60" t="str">
        <f t="shared" ca="1" si="2"/>
        <v>5 let</v>
      </c>
      <c r="R82" s="23">
        <f>HLOOKUP("Datum vydání",Data!$A$13:$R$167,MATCH(A82,Data!$C$14:$C$167,0)+1,)</f>
        <v>41600</v>
      </c>
      <c r="S82" s="1">
        <f>IF(ISERR(AVERAGEIFS(Data!$J$14:$J$167,Data!$C$14:$C$167,Výpočty!A82,Data!$B$14:$B$167,"Hra")),"",AVERAGEIFS(Data!$J$14:$J$167,Data!$C$14:$C$167,Výpočty!A82,Data!$B$14:$B$167,"Hra"))</f>
        <v>83.5</v>
      </c>
      <c r="T82" s="1">
        <f>IF(ISERR(AVERAGEIFS(Data!$K$14:$K$167,Data!$C$14:$C$167,Výpočty!A82,Data!$B$14:$B$167,"Hra")),"",AVERAGEIFS(Data!$K$14:$K$167,Data!$C$14:$C$167,Výpočty!A82,Data!$B$14:$B$167,"Hra"))</f>
        <v>82</v>
      </c>
      <c r="U82" s="1" t="str">
        <f>IF(ISERR(AVERAGEIFS(Data!$L$14:$L$167,Data!$C$14:$C$167,Výpočty!A82,Data!$B$14:$B$167,"Hra")),"",AVERAGEIFS(Data!$L$14:$L$167,Data!$C$14:$C$167,Výpočty!A82,Data!$B$14:$B$167,"Hra"))</f>
        <v/>
      </c>
      <c r="V82" s="1" t="str">
        <f>IF(ISERR(AVERAGEIFS(Data!$J$14:$J$167,Data!$C$14:$C$167,Výpočty!A82,Data!$B$14:$B$167,"Rozšíření")),"",AVERAGEIFS(Data!$J$14:$J$167,Data!$C$14:$C$167,Výpočty!A82,Data!$B$14:$B$167,"Rozšíření"))</f>
        <v/>
      </c>
      <c r="W82" s="1" t="str">
        <f>IF(ISERR(AVERAGEIFS(Data!$K$14:$K$167,Data!$C$14:$C$167,Výpočty!A82,Data!$B$14:$B$167,"Rozšíření")),"",AVERAGEIFS(Data!$K$14:$K$167,Data!$C$14:$C$167,Výpočty!A82,Data!$B$14:$B$167,"Rozšíření"))</f>
        <v/>
      </c>
      <c r="X82" s="1" t="str">
        <f>IF(ISERR(AVERAGEIFS(Data!$L$14:$L$167,Data!$C$14:$C$167,Výpočty!A82,Data!$B$14:$B$167,"Rozšíření")),"",AVERAGEIFS(Data!$L$14:$L$167,Data!$C$14:$C$167,Výpočty!A82,Data!$B$14:$B$167,"Rozšíření"))</f>
        <v/>
      </c>
    </row>
    <row r="83" spans="1:24" x14ac:dyDescent="0.25">
      <c r="A83" s="50" t="s">
        <v>309</v>
      </c>
      <c r="B83" s="51">
        <f>AVERAGEIFS(Data!$H$14:$H$167,Data!$C$14:$C$167,A83,Data!$B$14:$B$167,"Hra")</f>
        <v>10</v>
      </c>
      <c r="C83" s="51">
        <f>IF(ISERR(AVERAGEIFS(Data!$H$14:$H$167,Data!$C$14:$C$167,A83,Data!$B$14:$B$167,"Rozšíření")),0,AVERAGEIFS(Data!$H$14:$H$167,Data!$C$14:$C$167,A83,Data!$B$14:$B$167,"Rozšíření"))</f>
        <v>0</v>
      </c>
      <c r="D83" s="52">
        <f t="shared" si="0"/>
        <v>80</v>
      </c>
      <c r="E83" s="52" t="str">
        <f t="shared" si="1"/>
        <v>-</v>
      </c>
      <c r="F83" s="60" t="str">
        <f t="shared" ca="1" si="2"/>
        <v>5 let</v>
      </c>
      <c r="R83" s="23">
        <f>HLOOKUP("Datum vydání",Data!$A$13:$R$167,MATCH(A83,Data!$C$14:$C$167,0)+1,)</f>
        <v>41593</v>
      </c>
      <c r="S83" s="1" t="str">
        <f>IF(ISERR(AVERAGEIFS(Data!$J$14:$J$167,Data!$C$14:$C$167,Výpočty!A83,Data!$B$14:$B$167,"Hra")),"",AVERAGEIFS(Data!$J$14:$J$167,Data!$C$14:$C$167,Výpočty!A83,Data!$B$14:$B$167,"Hra"))</f>
        <v/>
      </c>
      <c r="T83" s="1" t="str">
        <f>IF(ISERR(AVERAGEIFS(Data!$K$14:$K$167,Data!$C$14:$C$167,Výpočty!A83,Data!$B$14:$B$167,"Hra")),"",AVERAGEIFS(Data!$K$14:$K$167,Data!$C$14:$C$167,Výpočty!A83,Data!$B$14:$B$167,"Hra"))</f>
        <v/>
      </c>
      <c r="U83" s="1">
        <f>IF(ISERR(AVERAGEIFS(Data!$L$14:$L$167,Data!$C$14:$C$167,Výpočty!A83,Data!$B$14:$B$167,"Hra")),"",AVERAGEIFS(Data!$L$14:$L$167,Data!$C$14:$C$167,Výpočty!A83,Data!$B$14:$B$167,"Hra"))</f>
        <v>80</v>
      </c>
      <c r="V83" s="1" t="str">
        <f>IF(ISERR(AVERAGEIFS(Data!$J$14:$J$167,Data!$C$14:$C$167,Výpočty!A83,Data!$B$14:$B$167,"Rozšíření")),"",AVERAGEIFS(Data!$J$14:$J$167,Data!$C$14:$C$167,Výpočty!A83,Data!$B$14:$B$167,"Rozšíření"))</f>
        <v/>
      </c>
      <c r="W83" s="1" t="str">
        <f>IF(ISERR(AVERAGEIFS(Data!$K$14:$K$167,Data!$C$14:$C$167,Výpočty!A83,Data!$B$14:$B$167,"Rozšíření")),"",AVERAGEIFS(Data!$K$14:$K$167,Data!$C$14:$C$167,Výpočty!A83,Data!$B$14:$B$167,"Rozšíření"))</f>
        <v/>
      </c>
      <c r="X83" s="1" t="str">
        <f>IF(ISERR(AVERAGEIFS(Data!$L$14:$L$167,Data!$C$14:$C$167,Výpočty!A83,Data!$B$14:$B$167,"Rozšíření")),"",AVERAGEIFS(Data!$L$14:$L$167,Data!$C$14:$C$167,Výpočty!A83,Data!$B$14:$B$167,"Rozšíření"))</f>
        <v/>
      </c>
    </row>
    <row r="84" spans="1:24" x14ac:dyDescent="0.25">
      <c r="A84" s="50" t="s">
        <v>349</v>
      </c>
      <c r="B84" s="51">
        <f>AVERAGEIFS(Data!$H$14:$H$167,Data!$C$14:$C$167,A84,Data!$B$14:$B$167,"Hra")</f>
        <v>32</v>
      </c>
      <c r="C84" s="51">
        <f>IF(ISERR(AVERAGEIFS(Data!$H$14:$H$167,Data!$C$14:$C$167,A84,Data!$B$14:$B$167,"Rozšíření")),0,AVERAGEIFS(Data!$H$14:$H$167,Data!$C$14:$C$167,A84,Data!$B$14:$B$167,"Rozšíření"))</f>
        <v>0</v>
      </c>
      <c r="D84" s="52">
        <f t="shared" ref="D84:D113" si="3">IF(ISERR(AVERAGE(S84:U84)),"-",AVERAGE(S84:U84))</f>
        <v>73</v>
      </c>
      <c r="E84" s="52" t="str">
        <f t="shared" ref="E84:E113" si="4">IF(ISERR(AVERAGE(V84:X84)),"-",AVERAGE(V84:X84))</f>
        <v>-</v>
      </c>
      <c r="F84" s="60" t="str">
        <f t="shared" ref="F84:F113" ca="1" si="5">DATEDIF(R84,TODAY(),"y")&amp;" "&amp;IF(DATEDIF(R84,TODAY(),"y")=0,"let",IF(DATEDIF(R84,TODAY(),"y")=1,"rok",IF(DATEDIF(R84,TODAY(),"y")&gt;=5,"let","roky")))</f>
        <v>5 let</v>
      </c>
      <c r="R84" s="23">
        <f>HLOOKUP("Datum vydání",Data!$A$13:$R$167,MATCH(A84,Data!$C$14:$C$167,0)+1,)</f>
        <v>41534</v>
      </c>
      <c r="S84" s="1">
        <f>IF(ISERR(AVERAGEIFS(Data!$J$14:$J$167,Data!$C$14:$C$167,Výpočty!A84,Data!$B$14:$B$167,"Hra")),"",AVERAGEIFS(Data!$J$14:$J$167,Data!$C$14:$C$167,Výpočty!A84,Data!$B$14:$B$167,"Hra"))</f>
        <v>69</v>
      </c>
      <c r="T84" s="1">
        <f>IF(ISERR(AVERAGEIFS(Data!$K$14:$K$167,Data!$C$14:$C$167,Výpočty!A84,Data!$B$14:$B$167,"Hra")),"",AVERAGEIFS(Data!$K$14:$K$167,Data!$C$14:$C$167,Výpočty!A84,Data!$B$14:$B$167,"Hra"))</f>
        <v>60</v>
      </c>
      <c r="U84" s="1">
        <f>IF(ISERR(AVERAGEIFS(Data!$L$14:$L$167,Data!$C$14:$C$167,Výpočty!A84,Data!$B$14:$B$167,"Hra")),"",AVERAGEIFS(Data!$L$14:$L$167,Data!$C$14:$C$167,Výpočty!A84,Data!$B$14:$B$167,"Hra"))</f>
        <v>90</v>
      </c>
      <c r="V84" s="1" t="str">
        <f>IF(ISERR(AVERAGEIFS(Data!$J$14:$J$167,Data!$C$14:$C$167,Výpočty!A84,Data!$B$14:$B$167,"Rozšíření")),"",AVERAGEIFS(Data!$J$14:$J$167,Data!$C$14:$C$167,Výpočty!A84,Data!$B$14:$B$167,"Rozšíření"))</f>
        <v/>
      </c>
      <c r="W84" s="1" t="str">
        <f>IF(ISERR(AVERAGEIFS(Data!$K$14:$K$167,Data!$C$14:$C$167,Výpočty!A84,Data!$B$14:$B$167,"Rozšíření")),"",AVERAGEIFS(Data!$K$14:$K$167,Data!$C$14:$C$167,Výpočty!A84,Data!$B$14:$B$167,"Rozšíření"))</f>
        <v/>
      </c>
      <c r="X84" s="1" t="str">
        <f>IF(ISERR(AVERAGEIFS(Data!$L$14:$L$167,Data!$C$14:$C$167,Výpočty!A84,Data!$B$14:$B$167,"Rozšíření")),"",AVERAGEIFS(Data!$L$14:$L$167,Data!$C$14:$C$167,Výpočty!A84,Data!$B$14:$B$167,"Rozšíření"))</f>
        <v/>
      </c>
    </row>
    <row r="85" spans="1:24" x14ac:dyDescent="0.25">
      <c r="A85" s="50" t="s">
        <v>184</v>
      </c>
      <c r="B85" s="51">
        <f>AVERAGEIFS(Data!$H$14:$H$167,Data!$C$14:$C$167,A85,Data!$B$14:$B$167,"Hra")</f>
        <v>5</v>
      </c>
      <c r="C85" s="51">
        <f>IF(ISERR(AVERAGEIFS(Data!$H$14:$H$167,Data!$C$14:$C$167,A85,Data!$B$14:$B$167,"Rozšíření")),0,AVERAGEIFS(Data!$H$14:$H$167,Data!$C$14:$C$167,A85,Data!$B$14:$B$167,"Rozšíření"))</f>
        <v>0</v>
      </c>
      <c r="D85" s="52">
        <f t="shared" si="3"/>
        <v>93.333333333333329</v>
      </c>
      <c r="E85" s="52" t="str">
        <f t="shared" si="4"/>
        <v>-</v>
      </c>
      <c r="F85" s="60" t="str">
        <f t="shared" ca="1" si="5"/>
        <v>5 let</v>
      </c>
      <c r="R85" s="23">
        <f>HLOOKUP("Datum vydání",Data!$A$13:$R$167,MATCH(A85,Data!$C$14:$C$167,0)+1,)</f>
        <v>41521</v>
      </c>
      <c r="S85" s="1">
        <f>IF(ISERR(AVERAGEIFS(Data!$J$14:$J$167,Data!$C$14:$C$167,Výpočty!A85,Data!$B$14:$B$167,"Hra")),"",AVERAGEIFS(Data!$J$14:$J$167,Data!$C$14:$C$167,Výpočty!A85,Data!$B$14:$B$167,"Hra"))</f>
        <v>96</v>
      </c>
      <c r="T85" s="1">
        <f>IF(ISERR(AVERAGEIFS(Data!$K$14:$K$167,Data!$C$14:$C$167,Výpočty!A85,Data!$B$14:$B$167,"Hra")),"",AVERAGEIFS(Data!$K$14:$K$167,Data!$C$14:$C$167,Výpočty!A85,Data!$B$14:$B$167,"Hra"))</f>
        <v>90</v>
      </c>
      <c r="U85" s="1">
        <f>IF(ISERR(AVERAGEIFS(Data!$L$14:$L$167,Data!$C$14:$C$167,Výpočty!A85,Data!$B$14:$B$167,"Hra")),"",AVERAGEIFS(Data!$L$14:$L$167,Data!$C$14:$C$167,Výpočty!A85,Data!$B$14:$B$167,"Hra"))</f>
        <v>94</v>
      </c>
      <c r="V85" s="1" t="str">
        <f>IF(ISERR(AVERAGEIFS(Data!$J$14:$J$167,Data!$C$14:$C$167,Výpočty!A85,Data!$B$14:$B$167,"Rozšíření")),"",AVERAGEIFS(Data!$J$14:$J$167,Data!$C$14:$C$167,Výpočty!A85,Data!$B$14:$B$167,"Rozšíření"))</f>
        <v/>
      </c>
      <c r="W85" s="1" t="str">
        <f>IF(ISERR(AVERAGEIFS(Data!$K$14:$K$167,Data!$C$14:$C$167,Výpočty!A85,Data!$B$14:$B$167,"Rozšíření")),"",AVERAGEIFS(Data!$K$14:$K$167,Data!$C$14:$C$167,Výpočty!A85,Data!$B$14:$B$167,"Rozšíření"))</f>
        <v/>
      </c>
      <c r="X85" s="1" t="str">
        <f>IF(ISERR(AVERAGEIFS(Data!$L$14:$L$167,Data!$C$14:$C$167,Výpočty!A85,Data!$B$14:$B$167,"Rozšíření")),"",AVERAGEIFS(Data!$L$14:$L$167,Data!$C$14:$C$167,Výpočty!A85,Data!$B$14:$B$167,"Rozšíření"))</f>
        <v/>
      </c>
    </row>
    <row r="86" spans="1:24" x14ac:dyDescent="0.25">
      <c r="A86" s="50" t="s">
        <v>151</v>
      </c>
      <c r="B86" s="51">
        <f>AVERAGEIFS(Data!$H$14:$H$167,Data!$C$14:$C$167,A86,Data!$B$14:$B$167,"Hra")</f>
        <v>5</v>
      </c>
      <c r="C86" s="51">
        <f>IF(ISERR(AVERAGEIFS(Data!$H$14:$H$167,Data!$C$14:$C$167,A86,Data!$B$14:$B$167,"Rozšíření")),0,AVERAGEIFS(Data!$H$14:$H$167,Data!$C$14:$C$167,A86,Data!$B$14:$B$167,"Rozšíření"))</f>
        <v>0</v>
      </c>
      <c r="D86" s="52">
        <f t="shared" si="3"/>
        <v>95</v>
      </c>
      <c r="E86" s="52" t="str">
        <f t="shared" si="4"/>
        <v>-</v>
      </c>
      <c r="F86" s="60" t="str">
        <f t="shared" ca="1" si="5"/>
        <v>5 let</v>
      </c>
      <c r="R86" s="23">
        <f>HLOOKUP("Datum vydání",Data!$A$13:$R$167,MATCH(A86,Data!$C$14:$C$167,0)+1,)</f>
        <v>41494</v>
      </c>
      <c r="S86" s="1">
        <f>IF(ISERR(AVERAGEIFS(Data!$J$14:$J$167,Data!$C$14:$C$167,Výpočty!A86,Data!$B$14:$B$167,"Hra")),"",AVERAGEIFS(Data!$J$14:$J$167,Data!$C$14:$C$167,Výpočty!A86,Data!$B$14:$B$167,"Hra"))</f>
        <v>95</v>
      </c>
      <c r="T86" s="1" t="str">
        <f>IF(ISERR(AVERAGEIFS(Data!$K$14:$K$167,Data!$C$14:$C$167,Výpočty!A86,Data!$B$14:$B$167,"Hra")),"",AVERAGEIFS(Data!$K$14:$K$167,Data!$C$14:$C$167,Výpočty!A86,Data!$B$14:$B$167,"Hra"))</f>
        <v/>
      </c>
      <c r="U86" s="1" t="str">
        <f>IF(ISERR(AVERAGEIFS(Data!$L$14:$L$167,Data!$C$14:$C$167,Výpočty!A86,Data!$B$14:$B$167,"Hra")),"",AVERAGEIFS(Data!$L$14:$L$167,Data!$C$14:$C$167,Výpočty!A86,Data!$B$14:$B$167,"Hra"))</f>
        <v/>
      </c>
      <c r="V86" s="1" t="str">
        <f>IF(ISERR(AVERAGEIFS(Data!$J$14:$J$167,Data!$C$14:$C$167,Výpočty!A86,Data!$B$14:$B$167,"Rozšíření")),"",AVERAGEIFS(Data!$J$14:$J$167,Data!$C$14:$C$167,Výpočty!A86,Data!$B$14:$B$167,"Rozšíření"))</f>
        <v/>
      </c>
      <c r="W86" s="1" t="str">
        <f>IF(ISERR(AVERAGEIFS(Data!$K$14:$K$167,Data!$C$14:$C$167,Výpočty!A86,Data!$B$14:$B$167,"Rozšíření")),"",AVERAGEIFS(Data!$K$14:$K$167,Data!$C$14:$C$167,Výpočty!A86,Data!$B$14:$B$167,"Rozšíření"))</f>
        <v/>
      </c>
      <c r="X86" s="1" t="str">
        <f>IF(ISERR(AVERAGEIFS(Data!$L$14:$L$167,Data!$C$14:$C$167,Výpočty!A86,Data!$B$14:$B$167,"Rozšíření")),"",AVERAGEIFS(Data!$L$14:$L$167,Data!$C$14:$C$167,Výpočty!A86,Data!$B$14:$B$167,"Rozšíření"))</f>
        <v/>
      </c>
    </row>
    <row r="87" spans="1:24" x14ac:dyDescent="0.25">
      <c r="A87" s="50" t="s">
        <v>291</v>
      </c>
      <c r="B87" s="51">
        <f>AVERAGEIFS(Data!$H$14:$H$167,Data!$C$14:$C$167,A87,Data!$B$14:$B$167,"Hra")</f>
        <v>16.5</v>
      </c>
      <c r="C87" s="51">
        <f>IF(ISERR(AVERAGEIFS(Data!$H$14:$H$167,Data!$C$14:$C$167,A87,Data!$B$14:$B$167,"Rozšíření")),0,AVERAGEIFS(Data!$H$14:$H$167,Data!$C$14:$C$167,A87,Data!$B$14:$B$167,"Rozšíření"))</f>
        <v>0</v>
      </c>
      <c r="D87" s="52">
        <f t="shared" si="3"/>
        <v>77.5</v>
      </c>
      <c r="E87" s="52" t="str">
        <f t="shared" si="4"/>
        <v>-</v>
      </c>
      <c r="F87" s="60" t="str">
        <f t="shared" ca="1" si="5"/>
        <v>5 let</v>
      </c>
      <c r="R87" s="23">
        <f>HLOOKUP("Datum vydání",Data!$A$13:$R$167,MATCH(A87,Data!$C$14:$C$167,0)+1,)</f>
        <v>41430</v>
      </c>
      <c r="S87" s="1">
        <f>IF(ISERR(AVERAGEIFS(Data!$J$14:$J$167,Data!$C$14:$C$167,Výpočty!A87,Data!$B$14:$B$167,"Hra")),"",AVERAGEIFS(Data!$J$14:$J$167,Data!$C$14:$C$167,Výpočty!A87,Data!$B$14:$B$167,"Hra"))</f>
        <v>75</v>
      </c>
      <c r="T87" s="1">
        <f>IF(ISERR(AVERAGEIFS(Data!$K$14:$K$167,Data!$C$14:$C$167,Výpočty!A87,Data!$B$14:$B$167,"Hra")),"",AVERAGEIFS(Data!$K$14:$K$167,Data!$C$14:$C$167,Výpočty!A87,Data!$B$14:$B$167,"Hra"))</f>
        <v>80</v>
      </c>
      <c r="U87" s="1" t="str">
        <f>IF(ISERR(AVERAGEIFS(Data!$L$14:$L$167,Data!$C$14:$C$167,Výpočty!A87,Data!$B$14:$B$167,"Hra")),"",AVERAGEIFS(Data!$L$14:$L$167,Data!$C$14:$C$167,Výpočty!A87,Data!$B$14:$B$167,"Hra"))</f>
        <v/>
      </c>
      <c r="V87" s="1" t="str">
        <f>IF(ISERR(AVERAGEIFS(Data!$J$14:$J$167,Data!$C$14:$C$167,Výpočty!A87,Data!$B$14:$B$167,"Rozšíření")),"",AVERAGEIFS(Data!$J$14:$J$167,Data!$C$14:$C$167,Výpočty!A87,Data!$B$14:$B$167,"Rozšíření"))</f>
        <v/>
      </c>
      <c r="W87" s="1" t="str">
        <f>IF(ISERR(AVERAGEIFS(Data!$K$14:$K$167,Data!$C$14:$C$167,Výpočty!A87,Data!$B$14:$B$167,"Rozšíření")),"",AVERAGEIFS(Data!$K$14:$K$167,Data!$C$14:$C$167,Výpočty!A87,Data!$B$14:$B$167,"Rozšíření"))</f>
        <v/>
      </c>
      <c r="X87" s="1" t="str">
        <f>IF(ISERR(AVERAGEIFS(Data!$L$14:$L$167,Data!$C$14:$C$167,Výpočty!A87,Data!$B$14:$B$167,"Rozšíření")),"",AVERAGEIFS(Data!$L$14:$L$167,Data!$C$14:$C$167,Výpočty!A87,Data!$B$14:$B$167,"Rozšíření"))</f>
        <v/>
      </c>
    </row>
    <row r="88" spans="1:24" x14ac:dyDescent="0.25">
      <c r="A88" s="50" t="s">
        <v>248</v>
      </c>
      <c r="B88" s="51">
        <f>AVERAGEIFS(Data!$H$14:$H$167,Data!$C$14:$C$167,A88,Data!$B$14:$B$167,"Hra")</f>
        <v>3</v>
      </c>
      <c r="C88" s="51">
        <f>IF(ISERR(AVERAGEIFS(Data!$H$14:$H$167,Data!$C$14:$C$167,A88,Data!$B$14:$B$167,"Rozšíření")),0,AVERAGEIFS(Data!$H$14:$H$167,Data!$C$14:$C$167,A88,Data!$B$14:$B$167,"Rozšíření"))</f>
        <v>0</v>
      </c>
      <c r="D88" s="52">
        <f t="shared" si="3"/>
        <v>97</v>
      </c>
      <c r="E88" s="52" t="str">
        <f t="shared" si="4"/>
        <v>-</v>
      </c>
      <c r="F88" s="60" t="str">
        <f t="shared" ca="1" si="5"/>
        <v>5 let</v>
      </c>
      <c r="R88" s="23">
        <f>HLOOKUP("Datum vydání",Data!$A$13:$R$167,MATCH(A88,Data!$C$14:$C$167,0)+1,)</f>
        <v>41428</v>
      </c>
      <c r="S88" s="1">
        <f>IF(ISERR(AVERAGEIFS(Data!$J$14:$J$167,Data!$C$14:$C$167,Výpočty!A88,Data!$B$14:$B$167,"Hra")),"",AVERAGEIFS(Data!$J$14:$J$167,Data!$C$14:$C$167,Výpočty!A88,Data!$B$14:$B$167,"Hra"))</f>
        <v>97</v>
      </c>
      <c r="T88" s="1" t="str">
        <f>IF(ISERR(AVERAGEIFS(Data!$K$14:$K$167,Data!$C$14:$C$167,Výpočty!A88,Data!$B$14:$B$167,"Hra")),"",AVERAGEIFS(Data!$K$14:$K$167,Data!$C$14:$C$167,Výpočty!A88,Data!$B$14:$B$167,"Hra"))</f>
        <v/>
      </c>
      <c r="U88" s="1" t="str">
        <f>IF(ISERR(AVERAGEIFS(Data!$L$14:$L$167,Data!$C$14:$C$167,Výpočty!A88,Data!$B$14:$B$167,"Hra")),"",AVERAGEIFS(Data!$L$14:$L$167,Data!$C$14:$C$167,Výpočty!A88,Data!$B$14:$B$167,"Hra"))</f>
        <v/>
      </c>
      <c r="V88" s="1" t="str">
        <f>IF(ISERR(AVERAGEIFS(Data!$J$14:$J$167,Data!$C$14:$C$167,Výpočty!A88,Data!$B$14:$B$167,"Rozšíření")),"",AVERAGEIFS(Data!$J$14:$J$167,Data!$C$14:$C$167,Výpočty!A88,Data!$B$14:$B$167,"Rozšíření"))</f>
        <v/>
      </c>
      <c r="W88" s="1" t="str">
        <f>IF(ISERR(AVERAGEIFS(Data!$K$14:$K$167,Data!$C$14:$C$167,Výpočty!A88,Data!$B$14:$B$167,"Rozšíření")),"",AVERAGEIFS(Data!$K$14:$K$167,Data!$C$14:$C$167,Výpočty!A88,Data!$B$14:$B$167,"Rozšíření"))</f>
        <v/>
      </c>
      <c r="X88" s="1" t="str">
        <f>IF(ISERR(AVERAGEIFS(Data!$L$14:$L$167,Data!$C$14:$C$167,Výpočty!A88,Data!$B$14:$B$167,"Rozšíření")),"",AVERAGEIFS(Data!$L$14:$L$167,Data!$C$14:$C$167,Výpočty!A88,Data!$B$14:$B$167,"Rozšíření"))</f>
        <v/>
      </c>
    </row>
    <row r="89" spans="1:24" x14ac:dyDescent="0.25">
      <c r="A89" s="50" t="s">
        <v>237</v>
      </c>
      <c r="B89" s="51">
        <f>AVERAGEIFS(Data!$H$14:$H$167,Data!$C$14:$C$167,A89,Data!$B$14:$B$167,"Hra")</f>
        <v>5</v>
      </c>
      <c r="C89" s="51">
        <f>IF(ISERR(AVERAGEIFS(Data!$H$14:$H$167,Data!$C$14:$C$167,A89,Data!$B$14:$B$167,"Rozšíření")),0,AVERAGEIFS(Data!$H$14:$H$167,Data!$C$14:$C$167,A89,Data!$B$14:$B$167,"Rozšíření"))</f>
        <v>0</v>
      </c>
      <c r="D89" s="52">
        <f t="shared" si="3"/>
        <v>88.333333333333329</v>
      </c>
      <c r="E89" s="52" t="str">
        <f t="shared" si="4"/>
        <v>-</v>
      </c>
      <c r="F89" s="60" t="str">
        <f t="shared" ca="1" si="5"/>
        <v>5 let</v>
      </c>
      <c r="R89" s="23">
        <f>HLOOKUP("Datum vydání",Data!$A$13:$R$167,MATCH(A89,Data!$C$14:$C$167,0)+1,)</f>
        <v>41424</v>
      </c>
      <c r="S89" s="1">
        <f>IF(ISERR(AVERAGEIFS(Data!$J$14:$J$167,Data!$C$14:$C$167,Výpočty!A89,Data!$B$14:$B$167,"Hra")),"",AVERAGEIFS(Data!$J$14:$J$167,Data!$C$14:$C$167,Výpočty!A89,Data!$B$14:$B$167,"Hra"))</f>
        <v>95</v>
      </c>
      <c r="T89" s="1">
        <f>IF(ISERR(AVERAGEIFS(Data!$K$14:$K$167,Data!$C$14:$C$167,Výpočty!A89,Data!$B$14:$B$167,"Hra")),"",AVERAGEIFS(Data!$K$14:$K$167,Data!$C$14:$C$167,Výpočty!A89,Data!$B$14:$B$167,"Hra"))</f>
        <v>80</v>
      </c>
      <c r="U89" s="1">
        <f>IF(ISERR(AVERAGEIFS(Data!$L$14:$L$167,Data!$C$14:$C$167,Výpočty!A89,Data!$B$14:$B$167,"Hra")),"",AVERAGEIFS(Data!$L$14:$L$167,Data!$C$14:$C$167,Výpočty!A89,Data!$B$14:$B$167,"Hra"))</f>
        <v>90</v>
      </c>
      <c r="V89" s="1" t="str">
        <f>IF(ISERR(AVERAGEIFS(Data!$J$14:$J$167,Data!$C$14:$C$167,Výpočty!A89,Data!$B$14:$B$167,"Rozšíření")),"",AVERAGEIFS(Data!$J$14:$J$167,Data!$C$14:$C$167,Výpočty!A89,Data!$B$14:$B$167,"Rozšíření"))</f>
        <v/>
      </c>
      <c r="W89" s="1" t="str">
        <f>IF(ISERR(AVERAGEIFS(Data!$K$14:$K$167,Data!$C$14:$C$167,Výpočty!A89,Data!$B$14:$B$167,"Rozšíření")),"",AVERAGEIFS(Data!$K$14:$K$167,Data!$C$14:$C$167,Výpočty!A89,Data!$B$14:$B$167,"Rozšíření"))</f>
        <v/>
      </c>
      <c r="X89" s="1" t="str">
        <f>IF(ISERR(AVERAGEIFS(Data!$L$14:$L$167,Data!$C$14:$C$167,Výpočty!A89,Data!$B$14:$B$167,"Rozšíření")),"",AVERAGEIFS(Data!$L$14:$L$167,Data!$C$14:$C$167,Výpočty!A89,Data!$B$14:$B$167,"Rozšíření"))</f>
        <v/>
      </c>
    </row>
    <row r="90" spans="1:24" x14ac:dyDescent="0.25">
      <c r="A90" s="50" t="s">
        <v>130</v>
      </c>
      <c r="B90" s="51">
        <f>AVERAGEIFS(Data!$H$14:$H$167,Data!$C$14:$C$167,A90,Data!$B$14:$B$167,"Hra")</f>
        <v>9.5</v>
      </c>
      <c r="C90" s="51">
        <f>IF(ISERR(AVERAGEIFS(Data!$H$14:$H$167,Data!$C$14:$C$167,A90,Data!$B$14:$B$167,"Rozšíření")),0,AVERAGEIFS(Data!$H$14:$H$167,Data!$C$14:$C$167,A90,Data!$B$14:$B$167,"Rozšíření"))</f>
        <v>0</v>
      </c>
      <c r="D90" s="52">
        <f t="shared" si="3"/>
        <v>89.666666666666671</v>
      </c>
      <c r="E90" s="52" t="str">
        <f t="shared" si="4"/>
        <v>-</v>
      </c>
      <c r="F90" s="60" t="str">
        <f t="shared" ca="1" si="5"/>
        <v>5 let</v>
      </c>
      <c r="R90" s="23">
        <f>HLOOKUP("Datum vydání",Data!$A$13:$R$167,MATCH(A90,Data!$C$14:$C$167,0)+1,)</f>
        <v>41408</v>
      </c>
      <c r="S90" s="1">
        <f>IF(ISERR(AVERAGEIFS(Data!$J$14:$J$167,Data!$C$14:$C$167,Výpočty!A90,Data!$B$14:$B$167,"Hra")),"",AVERAGEIFS(Data!$J$14:$J$167,Data!$C$14:$C$167,Výpočty!A90,Data!$B$14:$B$167,"Hra"))</f>
        <v>92</v>
      </c>
      <c r="T90" s="1">
        <f>IF(ISERR(AVERAGEIFS(Data!$K$14:$K$167,Data!$C$14:$C$167,Výpočty!A90,Data!$B$14:$B$167,"Hra")),"",AVERAGEIFS(Data!$K$14:$K$167,Data!$C$14:$C$167,Výpočty!A90,Data!$B$14:$B$167,"Hra"))</f>
        <v>86</v>
      </c>
      <c r="U90" s="1">
        <f>IF(ISERR(AVERAGEIFS(Data!$L$14:$L$167,Data!$C$14:$C$167,Výpočty!A90,Data!$B$14:$B$167,"Hra")),"",AVERAGEIFS(Data!$L$14:$L$167,Data!$C$14:$C$167,Výpočty!A90,Data!$B$14:$B$167,"Hra"))</f>
        <v>91</v>
      </c>
      <c r="V90" s="1" t="str">
        <f>IF(ISERR(AVERAGEIFS(Data!$J$14:$J$167,Data!$C$14:$C$167,Výpočty!A90,Data!$B$14:$B$167,"Rozšíření")),"",AVERAGEIFS(Data!$J$14:$J$167,Data!$C$14:$C$167,Výpočty!A90,Data!$B$14:$B$167,"Rozšíření"))</f>
        <v/>
      </c>
      <c r="W90" s="1" t="str">
        <f>IF(ISERR(AVERAGEIFS(Data!$K$14:$K$167,Data!$C$14:$C$167,Výpočty!A90,Data!$B$14:$B$167,"Rozšíření")),"",AVERAGEIFS(Data!$K$14:$K$167,Data!$C$14:$C$167,Výpočty!A90,Data!$B$14:$B$167,"Rozšíření"))</f>
        <v/>
      </c>
      <c r="X90" s="1" t="str">
        <f>IF(ISERR(AVERAGEIFS(Data!$L$14:$L$167,Data!$C$14:$C$167,Výpočty!A90,Data!$B$14:$B$167,"Rozšíření")),"",AVERAGEIFS(Data!$L$14:$L$167,Data!$C$14:$C$167,Výpočty!A90,Data!$B$14:$B$167,"Rozšíření"))</f>
        <v/>
      </c>
    </row>
    <row r="91" spans="1:24" x14ac:dyDescent="0.25">
      <c r="A91" s="50" t="s">
        <v>371</v>
      </c>
      <c r="B91" s="51">
        <f>AVERAGEIFS(Data!$H$14:$H$167,Data!$C$14:$C$167,A91,Data!$B$14:$B$167,"Hra")</f>
        <v>15.5</v>
      </c>
      <c r="C91" s="51">
        <f>IF(ISERR(AVERAGEIFS(Data!$H$14:$H$167,Data!$C$14:$C$167,A91,Data!$B$14:$B$167,"Rozšíření")),0,AVERAGEIFS(Data!$H$14:$H$167,Data!$C$14:$C$167,A91,Data!$B$14:$B$167,"Rozšíření"))</f>
        <v>2</v>
      </c>
      <c r="D91" s="52">
        <f t="shared" si="3"/>
        <v>90.333333333333329</v>
      </c>
      <c r="E91" s="52">
        <f t="shared" si="4"/>
        <v>79.666666666666671</v>
      </c>
      <c r="F91" s="60" t="str">
        <f t="shared" ca="1" si="5"/>
        <v>5 let</v>
      </c>
      <c r="R91" s="23">
        <f>HLOOKUP("Datum vydání",Data!$A$13:$R$167,MATCH(A91,Data!$C$14:$C$167,0)+1,)</f>
        <v>41376</v>
      </c>
      <c r="S91" s="1">
        <f>IF(ISERR(AVERAGEIFS(Data!$J$14:$J$167,Data!$C$14:$C$167,Výpočty!A91,Data!$B$14:$B$167,"Hra")),"",AVERAGEIFS(Data!$J$14:$J$167,Data!$C$14:$C$167,Výpočty!A91,Data!$B$14:$B$167,"Hra"))</f>
        <v>93</v>
      </c>
      <c r="T91" s="1">
        <f>IF(ISERR(AVERAGEIFS(Data!$K$14:$K$167,Data!$C$14:$C$167,Výpočty!A91,Data!$B$14:$B$167,"Hra")),"",AVERAGEIFS(Data!$K$14:$K$167,Data!$C$14:$C$167,Výpočty!A91,Data!$B$14:$B$167,"Hra"))</f>
        <v>88</v>
      </c>
      <c r="U91" s="1">
        <f>IF(ISERR(AVERAGEIFS(Data!$L$14:$L$167,Data!$C$14:$C$167,Výpočty!A91,Data!$B$14:$B$167,"Hra")),"",AVERAGEIFS(Data!$L$14:$L$167,Data!$C$14:$C$167,Výpočty!A91,Data!$B$14:$B$167,"Hra"))</f>
        <v>90</v>
      </c>
      <c r="V91" s="1">
        <f>IF(ISERR(AVERAGEIFS(Data!$J$14:$J$167,Data!$C$14:$C$167,Výpočty!A91,Data!$B$14:$B$167,"Rozšíření")),"",AVERAGEIFS(Data!$J$14:$J$167,Data!$C$14:$C$167,Výpočty!A91,Data!$B$14:$B$167,"Rozšíření"))</f>
        <v>62</v>
      </c>
      <c r="W91" s="1">
        <f>IF(ISERR(AVERAGEIFS(Data!$K$14:$K$167,Data!$C$14:$C$167,Výpočty!A91,Data!$B$14:$B$167,"Rozšíření")),"",AVERAGEIFS(Data!$K$14:$K$167,Data!$C$14:$C$167,Výpočty!A91,Data!$B$14:$B$167,"Rozšíření"))</f>
        <v>87</v>
      </c>
      <c r="X91" s="1">
        <f>IF(ISERR(AVERAGEIFS(Data!$L$14:$L$167,Data!$C$14:$C$167,Výpočty!A91,Data!$B$14:$B$167,"Rozšíření")),"",AVERAGEIFS(Data!$L$14:$L$167,Data!$C$14:$C$167,Výpočty!A91,Data!$B$14:$B$167,"Rozšíření"))</f>
        <v>90</v>
      </c>
    </row>
    <row r="92" spans="1:24" x14ac:dyDescent="0.25">
      <c r="A92" s="50" t="s">
        <v>377</v>
      </c>
      <c r="B92" s="51">
        <f>AVERAGEIFS(Data!$H$14:$H$167,Data!$C$14:$C$167,A92,Data!$B$14:$B$167,"Hra")</f>
        <v>31</v>
      </c>
      <c r="C92" s="51">
        <f>IF(ISERR(AVERAGEIFS(Data!$H$14:$H$167,Data!$C$14:$C$167,A92,Data!$B$14:$B$167,"Rozšíření")),0,AVERAGEIFS(Data!$H$14:$H$167,Data!$C$14:$C$167,A92,Data!$B$14:$B$167,"Rozšíření"))</f>
        <v>0</v>
      </c>
      <c r="D92" s="52">
        <f t="shared" si="3"/>
        <v>92</v>
      </c>
      <c r="E92" s="52" t="str">
        <f t="shared" si="4"/>
        <v>-</v>
      </c>
      <c r="F92" s="60" t="str">
        <f t="shared" ca="1" si="5"/>
        <v>6 let</v>
      </c>
      <c r="R92" s="23">
        <f>HLOOKUP("Datum vydání",Data!$A$13:$R$167,MATCH(A92,Data!$C$14:$C$167,0)+1,)</f>
        <v>41173</v>
      </c>
      <c r="S92" s="1">
        <f>IF(ISERR(AVERAGEIFS(Data!$J$14:$J$167,Data!$C$14:$C$167,Výpočty!A92,Data!$B$14:$B$167,"Hra")),"",AVERAGEIFS(Data!$J$14:$J$167,Data!$C$14:$C$167,Výpočty!A92,Data!$B$14:$B$167,"Hra"))</f>
        <v>96</v>
      </c>
      <c r="T92" s="1">
        <f>IF(ISERR(AVERAGEIFS(Data!$K$14:$K$167,Data!$C$14:$C$167,Výpočty!A92,Data!$B$14:$B$167,"Hra")),"",AVERAGEIFS(Data!$K$14:$K$167,Data!$C$14:$C$167,Výpočty!A92,Data!$B$14:$B$167,"Hra"))</f>
        <v>88</v>
      </c>
      <c r="U92" s="1" t="str">
        <f>IF(ISERR(AVERAGEIFS(Data!$L$14:$L$167,Data!$C$14:$C$167,Výpočty!A92,Data!$B$14:$B$167,"Hra")),"",AVERAGEIFS(Data!$L$14:$L$167,Data!$C$14:$C$167,Výpočty!A92,Data!$B$14:$B$167,"Hra"))</f>
        <v/>
      </c>
      <c r="V92" s="1" t="str">
        <f>IF(ISERR(AVERAGEIFS(Data!$J$14:$J$167,Data!$C$14:$C$167,Výpočty!A92,Data!$B$14:$B$167,"Rozšíření")),"",AVERAGEIFS(Data!$J$14:$J$167,Data!$C$14:$C$167,Výpočty!A92,Data!$B$14:$B$167,"Rozšíření"))</f>
        <v/>
      </c>
      <c r="W92" s="1" t="str">
        <f>IF(ISERR(AVERAGEIFS(Data!$K$14:$K$167,Data!$C$14:$C$167,Výpočty!A92,Data!$B$14:$B$167,"Rozšíření")),"",AVERAGEIFS(Data!$K$14:$K$167,Data!$C$14:$C$167,Výpočty!A92,Data!$B$14:$B$167,"Rozšíření"))</f>
        <v/>
      </c>
      <c r="X92" s="1" t="str">
        <f>IF(ISERR(AVERAGEIFS(Data!$L$14:$L$167,Data!$C$14:$C$167,Výpočty!A92,Data!$B$14:$B$167,"Rozšíření")),"",AVERAGEIFS(Data!$L$14:$L$167,Data!$C$14:$C$167,Výpočty!A92,Data!$B$14:$B$167,"Rozšíření"))</f>
        <v/>
      </c>
    </row>
    <row r="93" spans="1:24" x14ac:dyDescent="0.25">
      <c r="A93" s="48" t="s">
        <v>448</v>
      </c>
      <c r="B93" s="51">
        <f>AVERAGEIFS(Data!$H$14:$H$167,Data!$C$14:$C$167,A93,Data!$B$14:$B$167,"Hra")</f>
        <v>24.8</v>
      </c>
      <c r="C93" s="51">
        <f>IF(ISERR(AVERAGEIFS(Data!$H$14:$H$167,Data!$C$14:$C$167,A93,Data!$B$14:$B$167,"Rozšíření")),0,AVERAGEIFS(Data!$H$14:$H$167,Data!$C$14:$C$167,A93,Data!$B$14:$B$167,"Rozšíření"))</f>
        <v>0</v>
      </c>
      <c r="D93" s="52">
        <f t="shared" si="3"/>
        <v>79.166666666666671</v>
      </c>
      <c r="E93" s="52" t="str">
        <f t="shared" si="4"/>
        <v>-</v>
      </c>
      <c r="F93" s="60" t="str">
        <f t="shared" ca="1" si="5"/>
        <v>6 let</v>
      </c>
      <c r="R93" s="23">
        <f>HLOOKUP("Datum vydání",Data!$A$13:$R$167,MATCH(A93,Data!$C$14:$C$167,0)+1,)</f>
        <v>41135</v>
      </c>
      <c r="S93" s="1">
        <f>IF(ISERR(AVERAGEIFS(Data!$J$14:$J$167,Data!$C$14:$C$167,Výpočty!A93,Data!$B$14:$B$167,"Hra")),"",AVERAGEIFS(Data!$J$14:$J$167,Data!$C$14:$C$167,Výpočty!A93,Data!$B$14:$B$167,"Hra"))</f>
        <v>81.5</v>
      </c>
      <c r="T93" s="1">
        <f>IF(ISERR(AVERAGEIFS(Data!$K$14:$K$167,Data!$C$14:$C$167,Výpočty!A93,Data!$B$14:$B$167,"Hra")),"",AVERAGEIFS(Data!$K$14:$K$167,Data!$C$14:$C$167,Výpočty!A93,Data!$B$14:$B$167,"Hra"))</f>
        <v>77.5</v>
      </c>
      <c r="U93" s="1">
        <f>IF(ISERR(AVERAGEIFS(Data!$L$14:$L$167,Data!$C$14:$C$167,Výpočty!A93,Data!$B$14:$B$167,"Hra")),"",AVERAGEIFS(Data!$L$14:$L$167,Data!$C$14:$C$167,Výpočty!A93,Data!$B$14:$B$167,"Hra"))</f>
        <v>78.5</v>
      </c>
      <c r="V93" s="1" t="str">
        <f>IF(ISERR(AVERAGEIFS(Data!$J$14:$J$167,Data!$C$14:$C$167,Výpočty!A93,Data!$B$14:$B$167,"Rozšíření")),"",AVERAGEIFS(Data!$J$14:$J$167,Data!$C$14:$C$167,Výpočty!A93,Data!$B$14:$B$167,"Rozšíření"))</f>
        <v/>
      </c>
      <c r="W93" s="1" t="str">
        <f>IF(ISERR(AVERAGEIFS(Data!$K$14:$K$167,Data!$C$14:$C$167,Výpočty!A93,Data!$B$14:$B$167,"Rozšíření")),"",AVERAGEIFS(Data!$K$14:$K$167,Data!$C$14:$C$167,Výpočty!A93,Data!$B$14:$B$167,"Rozšíření"))</f>
        <v/>
      </c>
      <c r="X93" s="1" t="str">
        <f>IF(ISERR(AVERAGEIFS(Data!$L$14:$L$167,Data!$C$14:$C$167,Výpočty!A93,Data!$B$14:$B$167,"Rozšíření")),"",AVERAGEIFS(Data!$L$14:$L$167,Data!$C$14:$C$167,Výpočty!A93,Data!$B$14:$B$167,"Rozšíření"))</f>
        <v/>
      </c>
    </row>
    <row r="94" spans="1:24" x14ac:dyDescent="0.25">
      <c r="A94" s="50" t="s">
        <v>128</v>
      </c>
      <c r="B94" s="51">
        <f>AVERAGEIFS(Data!$H$14:$H$167,Data!$C$14:$C$167,A94,Data!$B$14:$B$167,"Hra")</f>
        <v>6</v>
      </c>
      <c r="C94" s="51">
        <f>IF(ISERR(AVERAGEIFS(Data!$H$14:$H$167,Data!$C$14:$C$167,A94,Data!$B$14:$B$167,"Rozšíření")),0,AVERAGEIFS(Data!$H$14:$H$167,Data!$C$14:$C$167,A94,Data!$B$14:$B$167,"Rozšíření"))</f>
        <v>0</v>
      </c>
      <c r="D94" s="52">
        <f t="shared" si="3"/>
        <v>93.5</v>
      </c>
      <c r="E94" s="52" t="str">
        <f t="shared" si="4"/>
        <v>-</v>
      </c>
      <c r="F94" s="60" t="str">
        <f t="shared" ca="1" si="5"/>
        <v>6 let</v>
      </c>
      <c r="R94" s="23">
        <f>HLOOKUP("Datum vydání",Data!$A$13:$R$167,MATCH(A94,Data!$C$14:$C$167,0)+1,)</f>
        <v>41089</v>
      </c>
      <c r="S94" s="1">
        <f>IF(ISERR(AVERAGEIFS(Data!$J$14:$J$167,Data!$C$14:$C$167,Výpočty!A94,Data!$B$14:$B$167,"Hra")),"",AVERAGEIFS(Data!$J$14:$J$167,Data!$C$14:$C$167,Výpočty!A94,Data!$B$14:$B$167,"Hra"))</f>
        <v>93</v>
      </c>
      <c r="T94" s="1">
        <f>IF(ISERR(AVERAGEIFS(Data!$K$14:$K$167,Data!$C$14:$C$167,Výpočty!A94,Data!$B$14:$B$167,"Hra")),"",AVERAGEIFS(Data!$K$14:$K$167,Data!$C$14:$C$167,Výpočty!A94,Data!$B$14:$B$167,"Hra"))</f>
        <v>94</v>
      </c>
      <c r="U94" s="1" t="str">
        <f>IF(ISERR(AVERAGEIFS(Data!$L$14:$L$167,Data!$C$14:$C$167,Výpočty!A94,Data!$B$14:$B$167,"Hra")),"",AVERAGEIFS(Data!$L$14:$L$167,Data!$C$14:$C$167,Výpočty!A94,Data!$B$14:$B$167,"Hra"))</f>
        <v/>
      </c>
      <c r="V94" s="1" t="str">
        <f>IF(ISERR(AVERAGEIFS(Data!$J$14:$J$167,Data!$C$14:$C$167,Výpočty!A94,Data!$B$14:$B$167,"Rozšíření")),"",AVERAGEIFS(Data!$J$14:$J$167,Data!$C$14:$C$167,Výpočty!A94,Data!$B$14:$B$167,"Rozšíření"))</f>
        <v/>
      </c>
      <c r="W94" s="1" t="str">
        <f>IF(ISERR(AVERAGEIFS(Data!$K$14:$K$167,Data!$C$14:$C$167,Výpočty!A94,Data!$B$14:$B$167,"Rozšíření")),"",AVERAGEIFS(Data!$K$14:$K$167,Data!$C$14:$C$167,Výpočty!A94,Data!$B$14:$B$167,"Rozšíření"))</f>
        <v/>
      </c>
      <c r="X94" s="1" t="str">
        <f>IF(ISERR(AVERAGEIFS(Data!$L$14:$L$167,Data!$C$14:$C$167,Výpočty!A94,Data!$B$14:$B$167,"Rozšíření")),"",AVERAGEIFS(Data!$L$14:$L$167,Data!$C$14:$C$167,Výpočty!A94,Data!$B$14:$B$167,"Rozšíření"))</f>
        <v/>
      </c>
    </row>
    <row r="95" spans="1:24" x14ac:dyDescent="0.25">
      <c r="A95" s="50" t="s">
        <v>283</v>
      </c>
      <c r="B95" s="51">
        <f>AVERAGEIFS(Data!$H$14:$H$167,Data!$C$14:$C$167,A95,Data!$B$14:$B$167,"Hra")</f>
        <v>9.5</v>
      </c>
      <c r="C95" s="51">
        <f>IF(ISERR(AVERAGEIFS(Data!$H$14:$H$167,Data!$C$14:$C$167,A95,Data!$B$14:$B$167,"Rozšíření")),0,AVERAGEIFS(Data!$H$14:$H$167,Data!$C$14:$C$167,A95,Data!$B$14:$B$167,"Rozšíření"))</f>
        <v>1.75</v>
      </c>
      <c r="D95" s="52">
        <f t="shared" si="3"/>
        <v>59.626666666666665</v>
      </c>
      <c r="E95" s="52">
        <f t="shared" si="4"/>
        <v>84</v>
      </c>
      <c r="F95" s="60" t="str">
        <f t="shared" ca="1" si="5"/>
        <v>7 let</v>
      </c>
      <c r="R95" s="23">
        <f>HLOOKUP("Datum vydání",Data!$A$13:$R$167,MATCH(A95,Data!$C$14:$C$167,0)+1,)</f>
        <v>40890</v>
      </c>
      <c r="S95" s="1" t="str">
        <f>IF(ISERR(AVERAGEIFS(Data!$J$14:$J$167,Data!$C$14:$C$167,Výpočty!A95,Data!$B$14:$B$167,"Hra")),"",AVERAGEIFS(Data!$J$14:$J$167,Data!$C$14:$C$167,Výpočty!A95,Data!$B$14:$B$167,"Hra"))</f>
        <v/>
      </c>
      <c r="T95" s="1">
        <f>IF(ISERR(AVERAGEIFS(Data!$K$14:$K$167,Data!$C$14:$C$167,Výpočty!A95,Data!$B$14:$B$167,"Hra")),"",AVERAGEIFS(Data!$K$14:$K$167,Data!$C$14:$C$167,Výpočty!A95,Data!$B$14:$B$167,"Hra"))</f>
        <v>59.626666666666665</v>
      </c>
      <c r="U95" s="1" t="str">
        <f>IF(ISERR(AVERAGEIFS(Data!$L$14:$L$167,Data!$C$14:$C$167,Výpočty!A95,Data!$B$14:$B$167,"Hra")),"",AVERAGEIFS(Data!$L$14:$L$167,Data!$C$14:$C$167,Výpočty!A95,Data!$B$14:$B$167,"Hra"))</f>
        <v/>
      </c>
      <c r="V95" s="1" t="str">
        <f>IF(ISERR(AVERAGEIFS(Data!$J$14:$J$167,Data!$C$14:$C$167,Výpočty!A95,Data!$B$14:$B$167,"Rozšíření")),"",AVERAGEIFS(Data!$J$14:$J$167,Data!$C$14:$C$167,Výpočty!A95,Data!$B$14:$B$167,"Rozšíření"))</f>
        <v/>
      </c>
      <c r="W95" s="1">
        <f>IF(ISERR(AVERAGEIFS(Data!$K$14:$K$167,Data!$C$14:$C$167,Výpočty!A95,Data!$B$14:$B$167,"Rozšíření")),"",AVERAGEIFS(Data!$K$14:$K$167,Data!$C$14:$C$167,Výpočty!A95,Data!$B$14:$B$167,"Rozšíření"))</f>
        <v>84</v>
      </c>
      <c r="X95" s="1" t="str">
        <f>IF(ISERR(AVERAGEIFS(Data!$L$14:$L$167,Data!$C$14:$C$167,Výpočty!A95,Data!$B$14:$B$167,"Rozšíření")),"",AVERAGEIFS(Data!$L$14:$L$167,Data!$C$14:$C$167,Výpočty!A95,Data!$B$14:$B$167,"Rozšíření"))</f>
        <v/>
      </c>
    </row>
    <row r="96" spans="1:24" ht="24" x14ac:dyDescent="0.25">
      <c r="A96" s="50" t="s">
        <v>214</v>
      </c>
      <c r="B96" s="51">
        <f>AVERAGEIFS(Data!$H$14:$H$167,Data!$C$14:$C$167,A96,Data!$B$14:$B$167,"Hra")</f>
        <v>11.5</v>
      </c>
      <c r="C96" s="51">
        <f>IF(ISERR(AVERAGEIFS(Data!$H$14:$H$167,Data!$C$14:$C$167,A96,Data!$B$14:$B$167,"Rozšíření")),0,AVERAGEIFS(Data!$H$14:$H$167,Data!$C$14:$C$167,A96,Data!$B$14:$B$167,"Rozšíření"))</f>
        <v>0</v>
      </c>
      <c r="D96" s="52">
        <f t="shared" si="3"/>
        <v>95</v>
      </c>
      <c r="E96" s="52" t="str">
        <f t="shared" si="4"/>
        <v>-</v>
      </c>
      <c r="F96" s="60" t="str">
        <f t="shared" ca="1" si="5"/>
        <v>7 let</v>
      </c>
      <c r="R96" s="23">
        <f>HLOOKUP("Datum vydání",Data!$A$13:$R$167,MATCH(A96,Data!$C$14:$C$167,0)+1,)</f>
        <v>40814</v>
      </c>
      <c r="S96" s="1">
        <f>IF(ISERR(AVERAGEIFS(Data!$J$14:$J$167,Data!$C$14:$C$167,Výpočty!A96,Data!$B$14:$B$167,"Hra")),"",AVERAGEIFS(Data!$J$14:$J$167,Data!$C$14:$C$167,Výpočty!A96,Data!$B$14:$B$167,"Hra"))</f>
        <v>95</v>
      </c>
      <c r="T96" s="1" t="str">
        <f>IF(ISERR(AVERAGEIFS(Data!$K$14:$K$167,Data!$C$14:$C$167,Výpočty!A96,Data!$B$14:$B$167,"Hra")),"",AVERAGEIFS(Data!$K$14:$K$167,Data!$C$14:$C$167,Výpočty!A96,Data!$B$14:$B$167,"Hra"))</f>
        <v/>
      </c>
      <c r="U96" s="1" t="str">
        <f>IF(ISERR(AVERAGEIFS(Data!$L$14:$L$167,Data!$C$14:$C$167,Výpočty!A96,Data!$B$14:$B$167,"Hra")),"",AVERAGEIFS(Data!$L$14:$L$167,Data!$C$14:$C$167,Výpočty!A96,Data!$B$14:$B$167,"Hra"))</f>
        <v/>
      </c>
      <c r="V96" s="1" t="str">
        <f>IF(ISERR(AVERAGEIFS(Data!$J$14:$J$167,Data!$C$14:$C$167,Výpočty!A96,Data!$B$14:$B$167,"Rozšíření")),"",AVERAGEIFS(Data!$J$14:$J$167,Data!$C$14:$C$167,Výpočty!A96,Data!$B$14:$B$167,"Rozšíření"))</f>
        <v/>
      </c>
      <c r="W96" s="1" t="str">
        <f>IF(ISERR(AVERAGEIFS(Data!$K$14:$K$167,Data!$C$14:$C$167,Výpočty!A96,Data!$B$14:$B$167,"Rozšíření")),"",AVERAGEIFS(Data!$K$14:$K$167,Data!$C$14:$C$167,Výpočty!A96,Data!$B$14:$B$167,"Rozšíření"))</f>
        <v/>
      </c>
      <c r="X96" s="1" t="str">
        <f>IF(ISERR(AVERAGEIFS(Data!$L$14:$L$167,Data!$C$14:$C$167,Výpočty!A96,Data!$B$14:$B$167,"Rozšíření")),"",AVERAGEIFS(Data!$L$14:$L$167,Data!$C$14:$C$167,Výpočty!A96,Data!$B$14:$B$167,"Rozšíření"))</f>
        <v/>
      </c>
    </row>
    <row r="97" spans="1:24" x14ac:dyDescent="0.25">
      <c r="A97" s="50" t="s">
        <v>245</v>
      </c>
      <c r="B97" s="51">
        <f>AVERAGEIFS(Data!$H$14:$H$167,Data!$C$14:$C$167,A97,Data!$B$14:$B$167,"Hra")</f>
        <v>48</v>
      </c>
      <c r="C97" s="51">
        <f>IF(ISERR(AVERAGEIFS(Data!$H$14:$H$167,Data!$C$14:$C$167,A97,Data!$B$14:$B$167,"Rozšíření")),0,AVERAGEIFS(Data!$H$14:$H$167,Data!$C$14:$C$167,A97,Data!$B$14:$B$167,"Rozšíření"))</f>
        <v>0</v>
      </c>
      <c r="D97" s="52">
        <f t="shared" si="3"/>
        <v>89.5</v>
      </c>
      <c r="E97" s="52" t="str">
        <f t="shared" si="4"/>
        <v>-</v>
      </c>
      <c r="F97" s="60" t="str">
        <f t="shared" ca="1" si="5"/>
        <v>7 let</v>
      </c>
      <c r="R97" s="23">
        <f>HLOOKUP("Datum vydání",Data!$A$13:$R$167,MATCH(A97,Data!$C$14:$C$167,0)+1,)</f>
        <v>40808</v>
      </c>
      <c r="S97" s="1">
        <f>IF(ISERR(AVERAGEIFS(Data!$J$14:$J$167,Data!$C$14:$C$167,Výpočty!A97,Data!$B$14:$B$167,"Hra")),"",AVERAGEIFS(Data!$J$14:$J$167,Data!$C$14:$C$167,Výpočty!A97,Data!$B$14:$B$167,"Hra"))</f>
        <v>89</v>
      </c>
      <c r="T97" s="1">
        <f>IF(ISERR(AVERAGEIFS(Data!$K$14:$K$167,Data!$C$14:$C$167,Výpočty!A97,Data!$B$14:$B$167,"Hra")),"",AVERAGEIFS(Data!$K$14:$K$167,Data!$C$14:$C$167,Výpočty!A97,Data!$B$14:$B$167,"Hra"))</f>
        <v>90</v>
      </c>
      <c r="U97" s="1" t="str">
        <f>IF(ISERR(AVERAGEIFS(Data!$L$14:$L$167,Data!$C$14:$C$167,Výpočty!A97,Data!$B$14:$B$167,"Hra")),"",AVERAGEIFS(Data!$L$14:$L$167,Data!$C$14:$C$167,Výpočty!A97,Data!$B$14:$B$167,"Hra"))</f>
        <v/>
      </c>
      <c r="V97" s="1" t="str">
        <f>IF(ISERR(AVERAGEIFS(Data!$J$14:$J$167,Data!$C$14:$C$167,Výpočty!A97,Data!$B$14:$B$167,"Rozšíření")),"",AVERAGEIFS(Data!$J$14:$J$167,Data!$C$14:$C$167,Výpočty!A97,Data!$B$14:$B$167,"Rozšíření"))</f>
        <v/>
      </c>
      <c r="W97" s="1" t="str">
        <f>IF(ISERR(AVERAGEIFS(Data!$K$14:$K$167,Data!$C$14:$C$167,Výpočty!A97,Data!$B$14:$B$167,"Rozšíření")),"",AVERAGEIFS(Data!$K$14:$K$167,Data!$C$14:$C$167,Výpočty!A97,Data!$B$14:$B$167,"Rozšíření"))</f>
        <v/>
      </c>
      <c r="X97" s="1" t="str">
        <f>IF(ISERR(AVERAGEIFS(Data!$L$14:$L$167,Data!$C$14:$C$167,Výpočty!A97,Data!$B$14:$B$167,"Rozšíření")),"",AVERAGEIFS(Data!$L$14:$L$167,Data!$C$14:$C$167,Výpočty!A97,Data!$B$14:$B$167,"Rozšíření"))</f>
        <v/>
      </c>
    </row>
    <row r="98" spans="1:24" x14ac:dyDescent="0.25">
      <c r="A98" s="50" t="s">
        <v>212</v>
      </c>
      <c r="B98" s="51">
        <f>AVERAGEIFS(Data!$H$14:$H$167,Data!$C$14:$C$167,A98,Data!$B$14:$B$167,"Hra")</f>
        <v>22</v>
      </c>
      <c r="C98" s="51">
        <f>IF(ISERR(AVERAGEIFS(Data!$H$14:$H$167,Data!$C$14:$C$167,A98,Data!$B$14:$B$167,"Rozšíření")),0,AVERAGEIFS(Data!$H$14:$H$167,Data!$C$14:$C$167,A98,Data!$B$14:$B$167,"Rozšíření"))</f>
        <v>0</v>
      </c>
      <c r="D98" s="52">
        <f t="shared" si="3"/>
        <v>90.5</v>
      </c>
      <c r="E98" s="52" t="str">
        <f t="shared" si="4"/>
        <v>-</v>
      </c>
      <c r="F98" s="60" t="str">
        <f t="shared" ca="1" si="5"/>
        <v>7 let</v>
      </c>
      <c r="R98" s="23">
        <f>HLOOKUP("Datum vydání",Data!$A$13:$R$167,MATCH(A98,Data!$C$14:$C$167,0)+1,)</f>
        <v>40794</v>
      </c>
      <c r="S98" s="1">
        <f>IF(ISERR(AVERAGEIFS(Data!$J$14:$J$167,Data!$C$14:$C$167,Výpočty!A98,Data!$B$14:$B$167,"Hra")),"",AVERAGEIFS(Data!$J$14:$J$167,Data!$C$14:$C$167,Výpočty!A98,Data!$B$14:$B$167,"Hra"))</f>
        <v>91</v>
      </c>
      <c r="T98" s="1">
        <f>IF(ISERR(AVERAGEIFS(Data!$K$14:$K$167,Data!$C$14:$C$167,Výpočty!A98,Data!$B$14:$B$167,"Hra")),"",AVERAGEIFS(Data!$K$14:$K$167,Data!$C$14:$C$167,Výpočty!A98,Data!$B$14:$B$167,"Hra"))</f>
        <v>90</v>
      </c>
      <c r="U98" s="1" t="str">
        <f>IF(ISERR(AVERAGEIFS(Data!$L$14:$L$167,Data!$C$14:$C$167,Výpočty!A98,Data!$B$14:$B$167,"Hra")),"",AVERAGEIFS(Data!$L$14:$L$167,Data!$C$14:$C$167,Výpočty!A98,Data!$B$14:$B$167,"Hra"))</f>
        <v/>
      </c>
      <c r="V98" s="1" t="str">
        <f>IF(ISERR(AVERAGEIFS(Data!$J$14:$J$167,Data!$C$14:$C$167,Výpočty!A98,Data!$B$14:$B$167,"Rozšíření")),"",AVERAGEIFS(Data!$J$14:$J$167,Data!$C$14:$C$167,Výpočty!A98,Data!$B$14:$B$167,"Rozšíření"))</f>
        <v/>
      </c>
      <c r="W98" s="1" t="str">
        <f>IF(ISERR(AVERAGEIFS(Data!$K$14:$K$167,Data!$C$14:$C$167,Výpočty!A98,Data!$B$14:$B$167,"Rozšíření")),"",AVERAGEIFS(Data!$K$14:$K$167,Data!$C$14:$C$167,Výpočty!A98,Data!$B$14:$B$167,"Rozšíření"))</f>
        <v/>
      </c>
      <c r="X98" s="1" t="str">
        <f>IF(ISERR(AVERAGEIFS(Data!$L$14:$L$167,Data!$C$14:$C$167,Výpočty!A98,Data!$B$14:$B$167,"Rozšíření")),"",AVERAGEIFS(Data!$L$14:$L$167,Data!$C$14:$C$167,Výpočty!A98,Data!$B$14:$B$167,"Rozšíření"))</f>
        <v/>
      </c>
    </row>
    <row r="99" spans="1:24" x14ac:dyDescent="0.25">
      <c r="A99" s="50" t="s">
        <v>121</v>
      </c>
      <c r="B99" s="51">
        <f>AVERAGEIFS(Data!$H$14:$H$167,Data!$C$14:$C$167,A99,Data!$B$14:$B$167,"Hra")</f>
        <v>21.5</v>
      </c>
      <c r="C99" s="51">
        <f>IF(ISERR(AVERAGEIFS(Data!$H$14:$H$167,Data!$C$14:$C$167,A99,Data!$B$14:$B$167,"Rozšíření")),0,AVERAGEIFS(Data!$H$14:$H$167,Data!$C$14:$C$167,A99,Data!$B$14:$B$167,"Rozšíření"))</f>
        <v>0</v>
      </c>
      <c r="D99" s="52">
        <f t="shared" si="3"/>
        <v>89.666666666666671</v>
      </c>
      <c r="E99" s="52" t="str">
        <f t="shared" si="4"/>
        <v>-</v>
      </c>
      <c r="F99" s="60" t="str">
        <f t="shared" ca="1" si="5"/>
        <v>7 let</v>
      </c>
      <c r="R99" s="23">
        <f>HLOOKUP("Datum vydání",Data!$A$13:$R$167,MATCH(A99,Data!$C$14:$C$167,0)+1,)</f>
        <v>40731</v>
      </c>
      <c r="S99" s="1">
        <f>IF(ISERR(AVERAGEIFS(Data!$J$14:$J$167,Data!$C$14:$C$167,Výpočty!A99,Data!$B$14:$B$167,"Hra")),"",AVERAGEIFS(Data!$J$14:$J$167,Data!$C$14:$C$167,Výpočty!A99,Data!$B$14:$B$167,"Hra"))</f>
        <v>85</v>
      </c>
      <c r="T99" s="1">
        <f>IF(ISERR(AVERAGEIFS(Data!$K$14:$K$167,Data!$C$14:$C$167,Výpočty!A99,Data!$B$14:$B$167,"Hra")),"",AVERAGEIFS(Data!$K$14:$K$167,Data!$C$14:$C$167,Výpočty!A99,Data!$B$14:$B$167,"Hra"))</f>
        <v>94</v>
      </c>
      <c r="U99" s="1">
        <f>IF(ISERR(AVERAGEIFS(Data!$L$14:$L$167,Data!$C$14:$C$167,Výpočty!A99,Data!$B$14:$B$167,"Hra")),"",AVERAGEIFS(Data!$L$14:$L$167,Data!$C$14:$C$167,Výpočty!A99,Data!$B$14:$B$167,"Hra"))</f>
        <v>90</v>
      </c>
      <c r="V99" s="1" t="str">
        <f>IF(ISERR(AVERAGEIFS(Data!$J$14:$J$167,Data!$C$14:$C$167,Výpočty!A99,Data!$B$14:$B$167,"Rozšíření")),"",AVERAGEIFS(Data!$J$14:$J$167,Data!$C$14:$C$167,Výpočty!A99,Data!$B$14:$B$167,"Rozšíření"))</f>
        <v/>
      </c>
      <c r="W99" s="1" t="str">
        <f>IF(ISERR(AVERAGEIFS(Data!$K$14:$K$167,Data!$C$14:$C$167,Výpočty!A99,Data!$B$14:$B$167,"Rozšíření")),"",AVERAGEIFS(Data!$K$14:$K$167,Data!$C$14:$C$167,Výpočty!A99,Data!$B$14:$B$167,"Rozšíření"))</f>
        <v/>
      </c>
      <c r="X99" s="1" t="str">
        <f>IF(ISERR(AVERAGEIFS(Data!$L$14:$L$167,Data!$C$14:$C$167,Výpočty!A99,Data!$B$14:$B$167,"Rozšíření")),"",AVERAGEIFS(Data!$L$14:$L$167,Data!$C$14:$C$167,Výpočty!A99,Data!$B$14:$B$167,"Rozšíření"))</f>
        <v/>
      </c>
    </row>
    <row r="100" spans="1:24" x14ac:dyDescent="0.25">
      <c r="A100" s="50" t="s">
        <v>258</v>
      </c>
      <c r="B100" s="51">
        <f>AVERAGEIFS(Data!$H$14:$H$167,Data!$C$14:$C$167,A100,Data!$B$14:$B$167,"Hra")</f>
        <v>9.75</v>
      </c>
      <c r="C100" s="51">
        <f>IF(ISERR(AVERAGEIFS(Data!$H$14:$H$167,Data!$C$14:$C$167,A100,Data!$B$14:$B$167,"Rozšíření")),0,AVERAGEIFS(Data!$H$14:$H$167,Data!$C$14:$C$167,A100,Data!$B$14:$B$167,"Rozšíření"))</f>
        <v>0</v>
      </c>
      <c r="D100" s="52">
        <f t="shared" si="3"/>
        <v>84.25</v>
      </c>
      <c r="E100" s="52" t="str">
        <f t="shared" si="4"/>
        <v>-</v>
      </c>
      <c r="F100" s="60" t="str">
        <f t="shared" ca="1" si="5"/>
        <v>7 let</v>
      </c>
      <c r="R100" s="23">
        <f>HLOOKUP("Datum vydání",Data!$A$13:$R$167,MATCH(A100,Data!$C$14:$C$167,0)+1,)</f>
        <v>40658</v>
      </c>
      <c r="S100" s="1">
        <f>IF(ISERR(AVERAGEIFS(Data!$J$14:$J$167,Data!$C$14:$C$167,Výpočty!A100,Data!$B$14:$B$167,"Hra")),"",AVERAGEIFS(Data!$J$14:$J$167,Data!$C$14:$C$167,Výpočty!A100,Data!$B$14:$B$167,"Hra"))</f>
        <v>82.5</v>
      </c>
      <c r="T100" s="1">
        <f>IF(ISERR(AVERAGEIFS(Data!$K$14:$K$167,Data!$C$14:$C$167,Výpočty!A100,Data!$B$14:$B$167,"Hra")),"",AVERAGEIFS(Data!$K$14:$K$167,Data!$C$14:$C$167,Výpočty!A100,Data!$B$14:$B$167,"Hra"))</f>
        <v>86</v>
      </c>
      <c r="U100" s="1" t="str">
        <f>IF(ISERR(AVERAGEIFS(Data!$L$14:$L$167,Data!$C$14:$C$167,Výpočty!A100,Data!$B$14:$B$167,"Hra")),"",AVERAGEIFS(Data!$L$14:$L$167,Data!$C$14:$C$167,Výpočty!A100,Data!$B$14:$B$167,"Hra"))</f>
        <v/>
      </c>
      <c r="V100" s="1" t="str">
        <f>IF(ISERR(AVERAGEIFS(Data!$J$14:$J$167,Data!$C$14:$C$167,Výpočty!A100,Data!$B$14:$B$167,"Rozšíření")),"",AVERAGEIFS(Data!$J$14:$J$167,Data!$C$14:$C$167,Výpočty!A100,Data!$B$14:$B$167,"Rozšíření"))</f>
        <v/>
      </c>
      <c r="W100" s="1" t="str">
        <f>IF(ISERR(AVERAGEIFS(Data!$K$14:$K$167,Data!$C$14:$C$167,Výpočty!A100,Data!$B$14:$B$167,"Rozšíření")),"",AVERAGEIFS(Data!$K$14:$K$167,Data!$C$14:$C$167,Výpočty!A100,Data!$B$14:$B$167,"Rozšíření"))</f>
        <v/>
      </c>
      <c r="X100" s="1" t="str">
        <f>IF(ISERR(AVERAGEIFS(Data!$L$14:$L$167,Data!$C$14:$C$167,Výpočty!A100,Data!$B$14:$B$167,"Rozšíření")),"",AVERAGEIFS(Data!$L$14:$L$167,Data!$C$14:$C$167,Výpočty!A100,Data!$B$14:$B$167,"Rozšíření"))</f>
        <v/>
      </c>
    </row>
    <row r="101" spans="1:24" x14ac:dyDescent="0.25">
      <c r="A101" s="50" t="s">
        <v>71</v>
      </c>
      <c r="B101" s="51">
        <f>AVERAGEIFS(Data!$H$14:$H$167,Data!$C$14:$C$167,A101,Data!$B$14:$B$167,"Hra")</f>
        <v>11</v>
      </c>
      <c r="C101" s="51">
        <f>IF(ISERR(AVERAGEIFS(Data!$H$14:$H$167,Data!$C$14:$C$167,A101,Data!$B$14:$B$167,"Rozšíření")),0,AVERAGEIFS(Data!$H$14:$H$167,Data!$C$14:$C$167,A101,Data!$B$14:$B$167,"Rozšíření"))</f>
        <v>0</v>
      </c>
      <c r="D101" s="52">
        <f t="shared" si="3"/>
        <v>95.5</v>
      </c>
      <c r="E101" s="52" t="str">
        <f t="shared" si="4"/>
        <v>-</v>
      </c>
      <c r="F101" s="60" t="str">
        <f t="shared" ca="1" si="5"/>
        <v>7 let</v>
      </c>
      <c r="R101" s="23">
        <f>HLOOKUP("Datum vydání",Data!$A$13:$R$167,MATCH(A101,Data!$C$14:$C$167,0)+1,)</f>
        <v>40621</v>
      </c>
      <c r="S101" s="1">
        <f>IF(ISERR(AVERAGEIFS(Data!$J$14:$J$167,Data!$C$14:$C$167,Výpočty!A101,Data!$B$14:$B$167,"Hra")),"",AVERAGEIFS(Data!$J$14:$J$167,Data!$C$14:$C$167,Výpočty!A101,Data!$B$14:$B$167,"Hra"))</f>
        <v>97</v>
      </c>
      <c r="T101" s="1">
        <f>IF(ISERR(AVERAGEIFS(Data!$K$14:$K$167,Data!$C$14:$C$167,Výpočty!A101,Data!$B$14:$B$167,"Hra")),"",AVERAGEIFS(Data!$K$14:$K$167,Data!$C$14:$C$167,Výpočty!A101,Data!$B$14:$B$167,"Hra"))</f>
        <v>94</v>
      </c>
      <c r="U101" s="1" t="str">
        <f>IF(ISERR(AVERAGEIFS(Data!$L$14:$L$167,Data!$C$14:$C$167,Výpočty!A101,Data!$B$14:$B$167,"Hra")),"",AVERAGEIFS(Data!$L$14:$L$167,Data!$C$14:$C$167,Výpočty!A101,Data!$B$14:$B$167,"Hra"))</f>
        <v/>
      </c>
      <c r="V101" s="1" t="str">
        <f>IF(ISERR(AVERAGEIFS(Data!$J$14:$J$167,Data!$C$14:$C$167,Výpočty!A101,Data!$B$14:$B$167,"Rozšíření")),"",AVERAGEIFS(Data!$J$14:$J$167,Data!$C$14:$C$167,Výpočty!A101,Data!$B$14:$B$167,"Rozšíření"))</f>
        <v/>
      </c>
      <c r="W101" s="1" t="str">
        <f>IF(ISERR(AVERAGEIFS(Data!$K$14:$K$167,Data!$C$14:$C$167,Výpočty!A101,Data!$B$14:$B$167,"Rozšíření")),"",AVERAGEIFS(Data!$K$14:$K$167,Data!$C$14:$C$167,Výpočty!A101,Data!$B$14:$B$167,"Rozšíření"))</f>
        <v/>
      </c>
      <c r="X101" s="1" t="str">
        <f>IF(ISERR(AVERAGEIFS(Data!$L$14:$L$167,Data!$C$14:$C$167,Výpočty!A101,Data!$B$14:$B$167,"Rozšíření")),"",AVERAGEIFS(Data!$L$14:$L$167,Data!$C$14:$C$167,Výpočty!A101,Data!$B$14:$B$167,"Rozšíření"))</f>
        <v/>
      </c>
    </row>
    <row r="102" spans="1:24" x14ac:dyDescent="0.25">
      <c r="A102" s="50" t="s">
        <v>163</v>
      </c>
      <c r="B102" s="51">
        <f>AVERAGEIFS(Data!$H$14:$H$167,Data!$C$14:$C$167,A102,Data!$B$14:$B$167,"Hra")</f>
        <v>12</v>
      </c>
      <c r="C102" s="51">
        <f>IF(ISERR(AVERAGEIFS(Data!$H$14:$H$167,Data!$C$14:$C$167,A102,Data!$B$14:$B$167,"Rozšíření")),0,AVERAGEIFS(Data!$H$14:$H$167,Data!$C$14:$C$167,A102,Data!$B$14:$B$167,"Rozšíření"))</f>
        <v>0</v>
      </c>
      <c r="D102" s="52">
        <f t="shared" si="3"/>
        <v>94.5</v>
      </c>
      <c r="E102" s="52" t="str">
        <f t="shared" si="4"/>
        <v>-</v>
      </c>
      <c r="F102" s="60" t="str">
        <f t="shared" ca="1" si="5"/>
        <v>8 let</v>
      </c>
      <c r="R102" s="23">
        <f>HLOOKUP("Datum vydání",Data!$A$13:$R$167,MATCH(A102,Data!$C$14:$C$167,0)+1,)</f>
        <v>40414</v>
      </c>
      <c r="S102" s="1">
        <f>IF(ISERR(AVERAGEIFS(Data!$J$14:$J$167,Data!$C$14:$C$167,Výpočty!A102,Data!$B$14:$B$167,"Hra")),"",AVERAGEIFS(Data!$J$14:$J$167,Data!$C$14:$C$167,Výpočty!A102,Data!$B$14:$B$167,"Hra"))</f>
        <v>93</v>
      </c>
      <c r="T102" s="1">
        <f>IF(ISERR(AVERAGEIFS(Data!$K$14:$K$167,Data!$C$14:$C$167,Výpočty!A102,Data!$B$14:$B$167,"Hra")),"",AVERAGEIFS(Data!$K$14:$K$167,Data!$C$14:$C$167,Výpočty!A102,Data!$B$14:$B$167,"Hra"))</f>
        <v>96</v>
      </c>
      <c r="U102" s="1" t="str">
        <f>IF(ISERR(AVERAGEIFS(Data!$L$14:$L$167,Data!$C$14:$C$167,Výpočty!A102,Data!$B$14:$B$167,"Hra")),"",AVERAGEIFS(Data!$L$14:$L$167,Data!$C$14:$C$167,Výpočty!A102,Data!$B$14:$B$167,"Hra"))</f>
        <v/>
      </c>
      <c r="V102" s="1" t="str">
        <f>IF(ISERR(AVERAGEIFS(Data!$J$14:$J$167,Data!$C$14:$C$167,Výpočty!A102,Data!$B$14:$B$167,"Rozšíření")),"",AVERAGEIFS(Data!$J$14:$J$167,Data!$C$14:$C$167,Výpočty!A102,Data!$B$14:$B$167,"Rozšíření"))</f>
        <v/>
      </c>
      <c r="W102" s="1" t="str">
        <f>IF(ISERR(AVERAGEIFS(Data!$K$14:$K$167,Data!$C$14:$C$167,Výpočty!A102,Data!$B$14:$B$167,"Rozšíření")),"",AVERAGEIFS(Data!$K$14:$K$167,Data!$C$14:$C$167,Výpočty!A102,Data!$B$14:$B$167,"Rozšíření"))</f>
        <v/>
      </c>
      <c r="X102" s="1" t="str">
        <f>IF(ISERR(AVERAGEIFS(Data!$L$14:$L$167,Data!$C$14:$C$167,Výpočty!A102,Data!$B$14:$B$167,"Rozšíření")),"",AVERAGEIFS(Data!$L$14:$L$167,Data!$C$14:$C$167,Výpočty!A102,Data!$B$14:$B$167,"Rozšíření"))</f>
        <v/>
      </c>
    </row>
    <row r="103" spans="1:24" x14ac:dyDescent="0.25">
      <c r="A103" s="50" t="s">
        <v>369</v>
      </c>
      <c r="B103" s="51">
        <f>AVERAGEIFS(Data!$H$14:$H$167,Data!$C$14:$C$167,A103,Data!$B$14:$B$167,"Hra")</f>
        <v>18</v>
      </c>
      <c r="C103" s="51">
        <f>IF(ISERR(AVERAGEIFS(Data!$H$14:$H$167,Data!$C$14:$C$167,A103,Data!$B$14:$B$167,"Rozšíření")),0,AVERAGEIFS(Data!$H$14:$H$167,Data!$C$14:$C$167,A103,Data!$B$14:$B$167,"Rozšíření"))</f>
        <v>0</v>
      </c>
      <c r="D103" s="52">
        <f t="shared" si="3"/>
        <v>92</v>
      </c>
      <c r="E103" s="52" t="str">
        <f t="shared" si="4"/>
        <v>-</v>
      </c>
      <c r="F103" s="60" t="str">
        <f t="shared" ca="1" si="5"/>
        <v>8 let</v>
      </c>
      <c r="R103" s="23">
        <f>HLOOKUP("Datum vydání",Data!$A$13:$R$167,MATCH(A103,Data!$C$14:$C$167,0)+1,)</f>
        <v>40316</v>
      </c>
      <c r="S103" s="1" t="str">
        <f>IF(ISERR(AVERAGEIFS(Data!$J$14:$J$167,Data!$C$14:$C$167,Výpočty!A103,Data!$B$14:$B$167,"Hra")),"",AVERAGEIFS(Data!$J$14:$J$167,Data!$C$14:$C$167,Výpočty!A103,Data!$B$14:$B$167,"Hra"))</f>
        <v/>
      </c>
      <c r="T103" s="1">
        <f>IF(ISERR(AVERAGEIFS(Data!$K$14:$K$167,Data!$C$14:$C$167,Výpočty!A103,Data!$B$14:$B$167,"Hra")),"",AVERAGEIFS(Data!$K$14:$K$167,Data!$C$14:$C$167,Výpočty!A103,Data!$B$14:$B$167,"Hra"))</f>
        <v>92</v>
      </c>
      <c r="U103" s="1" t="str">
        <f>IF(ISERR(AVERAGEIFS(Data!$L$14:$L$167,Data!$C$14:$C$167,Výpočty!A103,Data!$B$14:$B$167,"Hra")),"",AVERAGEIFS(Data!$L$14:$L$167,Data!$C$14:$C$167,Výpočty!A103,Data!$B$14:$B$167,"Hra"))</f>
        <v/>
      </c>
      <c r="V103" s="1" t="str">
        <f>IF(ISERR(AVERAGEIFS(Data!$J$14:$J$167,Data!$C$14:$C$167,Výpočty!A103,Data!$B$14:$B$167,"Rozšíření")),"",AVERAGEIFS(Data!$J$14:$J$167,Data!$C$14:$C$167,Výpočty!A103,Data!$B$14:$B$167,"Rozšíření"))</f>
        <v/>
      </c>
      <c r="W103" s="1" t="str">
        <f>IF(ISERR(AVERAGEIFS(Data!$K$14:$K$167,Data!$C$14:$C$167,Výpočty!A103,Data!$B$14:$B$167,"Rozšíření")),"",AVERAGEIFS(Data!$K$14:$K$167,Data!$C$14:$C$167,Výpočty!A103,Data!$B$14:$B$167,"Rozšíření"))</f>
        <v/>
      </c>
      <c r="X103" s="1" t="str">
        <f>IF(ISERR(AVERAGEIFS(Data!$L$14:$L$167,Data!$C$14:$C$167,Výpočty!A103,Data!$B$14:$B$167,"Rozšíření")),"",AVERAGEIFS(Data!$L$14:$L$167,Data!$C$14:$C$167,Výpočty!A103,Data!$B$14:$B$167,"Rozšíření"))</f>
        <v/>
      </c>
    </row>
    <row r="104" spans="1:24" x14ac:dyDescent="0.25">
      <c r="A104" s="50" t="s">
        <v>102</v>
      </c>
      <c r="B104" s="51">
        <f>AVERAGEIFS(Data!$H$14:$H$167,Data!$C$14:$C$167,A104,Data!$B$14:$B$167,"Hra")</f>
        <v>21.5</v>
      </c>
      <c r="C104" s="51">
        <f>IF(ISERR(AVERAGEIFS(Data!$H$14:$H$167,Data!$C$14:$C$167,A104,Data!$B$14:$B$167,"Rozšíření")),0,AVERAGEIFS(Data!$H$14:$H$167,Data!$C$14:$C$167,A104,Data!$B$14:$B$167,"Rozšíření"))</f>
        <v>0</v>
      </c>
      <c r="D104" s="52">
        <f t="shared" si="3"/>
        <v>94.75</v>
      </c>
      <c r="E104" s="52" t="str">
        <f t="shared" si="4"/>
        <v>-</v>
      </c>
      <c r="F104" s="60" t="str">
        <f t="shared" ca="1" si="5"/>
        <v>8 let</v>
      </c>
      <c r="R104" s="23">
        <f>HLOOKUP("Datum vydání",Data!$A$13:$R$167,MATCH(A104,Data!$C$14:$C$167,0)+1,)</f>
        <v>40204</v>
      </c>
      <c r="S104" s="1">
        <f>IF(ISERR(AVERAGEIFS(Data!$J$14:$J$167,Data!$C$14:$C$167,Výpočty!A104,Data!$B$14:$B$167,"Hra")),"",AVERAGEIFS(Data!$J$14:$J$167,Data!$C$14:$C$167,Výpočty!A104,Data!$B$14:$B$167,"Hra"))</f>
        <v>94.5</v>
      </c>
      <c r="T104" s="1">
        <f>IF(ISERR(AVERAGEIFS(Data!$K$14:$K$167,Data!$C$14:$C$167,Výpočty!A104,Data!$B$14:$B$167,"Hra")),"",AVERAGEIFS(Data!$K$14:$K$167,Data!$C$14:$C$167,Výpočty!A104,Data!$B$14:$B$167,"Hra"))</f>
        <v>95</v>
      </c>
      <c r="U104" s="1" t="str">
        <f>IF(ISERR(AVERAGEIFS(Data!$L$14:$L$167,Data!$C$14:$C$167,Výpočty!A104,Data!$B$14:$B$167,"Hra")),"",AVERAGEIFS(Data!$L$14:$L$167,Data!$C$14:$C$167,Výpočty!A104,Data!$B$14:$B$167,"Hra"))</f>
        <v/>
      </c>
      <c r="V104" s="1" t="str">
        <f>IF(ISERR(AVERAGEIFS(Data!$J$14:$J$167,Data!$C$14:$C$167,Výpočty!A104,Data!$B$14:$B$167,"Rozšíření")),"",AVERAGEIFS(Data!$J$14:$J$167,Data!$C$14:$C$167,Výpočty!A104,Data!$B$14:$B$167,"Rozšíření"))</f>
        <v/>
      </c>
      <c r="W104" s="1" t="str">
        <f>IF(ISERR(AVERAGEIFS(Data!$K$14:$K$167,Data!$C$14:$C$167,Výpočty!A104,Data!$B$14:$B$167,"Rozšíření")),"",AVERAGEIFS(Data!$K$14:$K$167,Data!$C$14:$C$167,Výpočty!A104,Data!$B$14:$B$167,"Rozšíření"))</f>
        <v/>
      </c>
      <c r="X104" s="1" t="str">
        <f>IF(ISERR(AVERAGEIFS(Data!$L$14:$L$167,Data!$C$14:$C$167,Výpočty!A104,Data!$B$14:$B$167,"Rozšíření")),"",AVERAGEIFS(Data!$L$14:$L$167,Data!$C$14:$C$167,Výpočty!A104,Data!$B$14:$B$167,"Rozšíření"))</f>
        <v/>
      </c>
    </row>
    <row r="105" spans="1:24" x14ac:dyDescent="0.25">
      <c r="A105" s="50" t="s">
        <v>370</v>
      </c>
      <c r="B105" s="51">
        <f>AVERAGEIFS(Data!$H$14:$H$167,Data!$C$14:$C$167,A105,Data!$B$14:$B$167,"Hra")</f>
        <v>9.5</v>
      </c>
      <c r="C105" s="51">
        <f>IF(ISERR(AVERAGEIFS(Data!$H$14:$H$167,Data!$C$14:$C$167,A105,Data!$B$14:$B$167,"Rozšíření")),0,AVERAGEIFS(Data!$H$14:$H$167,Data!$C$14:$C$167,A105,Data!$B$14:$B$167,"Rozšíření"))</f>
        <v>0</v>
      </c>
      <c r="D105" s="52">
        <f t="shared" si="3"/>
        <v>95</v>
      </c>
      <c r="E105" s="52" t="str">
        <f t="shared" si="4"/>
        <v>-</v>
      </c>
      <c r="F105" s="60" t="str">
        <f t="shared" ca="1" si="5"/>
        <v>9 let</v>
      </c>
      <c r="R105" s="23">
        <f>HLOOKUP("Datum vydání",Data!$A$13:$R$167,MATCH(A105,Data!$C$14:$C$167,0)+1,)</f>
        <v>40137</v>
      </c>
      <c r="S105" s="1">
        <f>IF(ISERR(AVERAGEIFS(Data!$J$14:$J$167,Data!$C$14:$C$167,Výpočty!A105,Data!$B$14:$B$167,"Hra")),"",AVERAGEIFS(Data!$J$14:$J$167,Data!$C$14:$C$167,Výpočty!A105,Data!$B$14:$B$167,"Hra"))</f>
        <v>96</v>
      </c>
      <c r="T105" s="1">
        <f>IF(ISERR(AVERAGEIFS(Data!$K$14:$K$167,Data!$C$14:$C$167,Výpočty!A105,Data!$B$14:$B$167,"Hra")),"",AVERAGEIFS(Data!$K$14:$K$167,Data!$C$14:$C$167,Výpočty!A105,Data!$B$14:$B$167,"Hra"))</f>
        <v>94</v>
      </c>
      <c r="U105" s="1" t="str">
        <f>IF(ISERR(AVERAGEIFS(Data!$L$14:$L$167,Data!$C$14:$C$167,Výpočty!A105,Data!$B$14:$B$167,"Hra")),"",AVERAGEIFS(Data!$L$14:$L$167,Data!$C$14:$C$167,Výpočty!A105,Data!$B$14:$B$167,"Hra"))</f>
        <v/>
      </c>
      <c r="V105" s="1" t="str">
        <f>IF(ISERR(AVERAGEIFS(Data!$J$14:$J$167,Data!$C$14:$C$167,Výpočty!A105,Data!$B$14:$B$167,"Rozšíření")),"",AVERAGEIFS(Data!$J$14:$J$167,Data!$C$14:$C$167,Výpočty!A105,Data!$B$14:$B$167,"Rozšíření"))</f>
        <v/>
      </c>
      <c r="W105" s="1" t="str">
        <f>IF(ISERR(AVERAGEIFS(Data!$K$14:$K$167,Data!$C$14:$C$167,Výpočty!A105,Data!$B$14:$B$167,"Rozšíření")),"",AVERAGEIFS(Data!$K$14:$K$167,Data!$C$14:$C$167,Výpočty!A105,Data!$B$14:$B$167,"Rozšíření"))</f>
        <v/>
      </c>
      <c r="X105" s="1" t="str">
        <f>IF(ISERR(AVERAGEIFS(Data!$L$14:$L$167,Data!$C$14:$C$167,Výpočty!A105,Data!$B$14:$B$167,"Rozšíření")),"",AVERAGEIFS(Data!$L$14:$L$167,Data!$C$14:$C$167,Výpočty!A105,Data!$B$14:$B$167,"Rozšíření"))</f>
        <v/>
      </c>
    </row>
    <row r="106" spans="1:24" x14ac:dyDescent="0.25">
      <c r="A106" s="50" t="s">
        <v>273</v>
      </c>
      <c r="B106" s="51">
        <f>AVERAGEIFS(Data!$H$14:$H$167,Data!$C$14:$C$167,A106,Data!$B$14:$B$167,"Hra")</f>
        <v>8</v>
      </c>
      <c r="C106" s="51">
        <f>IF(ISERR(AVERAGEIFS(Data!$H$14:$H$167,Data!$C$14:$C$167,A106,Data!$B$14:$B$167,"Rozšíření")),0,AVERAGEIFS(Data!$H$14:$H$167,Data!$C$14:$C$167,A106,Data!$B$14:$B$167,"Rozšíření"))</f>
        <v>0</v>
      </c>
      <c r="D106" s="52">
        <f t="shared" si="3"/>
        <v>93.5</v>
      </c>
      <c r="E106" s="52" t="str">
        <f t="shared" si="4"/>
        <v>-</v>
      </c>
      <c r="F106" s="60" t="str">
        <f t="shared" ca="1" si="5"/>
        <v>9 let</v>
      </c>
      <c r="R106" s="23">
        <f>HLOOKUP("Datum vydání",Data!$A$13:$R$167,MATCH(A106,Data!$C$14:$C$167,0)+1,)</f>
        <v>39938</v>
      </c>
      <c r="S106" s="1">
        <f>IF(ISERR(AVERAGEIFS(Data!$J$14:$J$167,Data!$C$14:$C$167,Výpočty!A106,Data!$B$14:$B$167,"Hra")),"",AVERAGEIFS(Data!$J$14:$J$167,Data!$C$14:$C$167,Výpočty!A106,Data!$B$14:$B$167,"Hra"))</f>
        <v>97</v>
      </c>
      <c r="T106" s="1">
        <f>IF(ISERR(AVERAGEIFS(Data!$K$14:$K$167,Data!$C$14:$C$167,Výpočty!A106,Data!$B$14:$B$167,"Hra")),"",AVERAGEIFS(Data!$K$14:$K$167,Data!$C$14:$C$167,Výpočty!A106,Data!$B$14:$B$167,"Hra"))</f>
        <v>90</v>
      </c>
      <c r="U106" s="1" t="str">
        <f>IF(ISERR(AVERAGEIFS(Data!$L$14:$L$167,Data!$C$14:$C$167,Výpočty!A106,Data!$B$14:$B$167,"Hra")),"",AVERAGEIFS(Data!$L$14:$L$167,Data!$C$14:$C$167,Výpočty!A106,Data!$B$14:$B$167,"Hra"))</f>
        <v/>
      </c>
      <c r="V106" s="1" t="str">
        <f>IF(ISERR(AVERAGEIFS(Data!$J$14:$J$167,Data!$C$14:$C$167,Výpočty!A106,Data!$B$14:$B$167,"Rozšíření")),"",AVERAGEIFS(Data!$J$14:$J$167,Data!$C$14:$C$167,Výpočty!A106,Data!$B$14:$B$167,"Rozšíření"))</f>
        <v/>
      </c>
      <c r="W106" s="1" t="str">
        <f>IF(ISERR(AVERAGEIFS(Data!$K$14:$K$167,Data!$C$14:$C$167,Výpočty!A106,Data!$B$14:$B$167,"Rozšíření")),"",AVERAGEIFS(Data!$K$14:$K$167,Data!$C$14:$C$167,Výpočty!A106,Data!$B$14:$B$167,"Rozšíření"))</f>
        <v/>
      </c>
      <c r="X106" s="1" t="str">
        <f>IF(ISERR(AVERAGEIFS(Data!$L$14:$L$167,Data!$C$14:$C$167,Výpočty!A106,Data!$B$14:$B$167,"Rozšíření")),"",AVERAGEIFS(Data!$L$14:$L$167,Data!$C$14:$C$167,Výpočty!A106,Data!$B$14:$B$167,"Rozšíření"))</f>
        <v/>
      </c>
    </row>
    <row r="107" spans="1:24" x14ac:dyDescent="0.25">
      <c r="A107" s="50" t="s">
        <v>374</v>
      </c>
      <c r="B107" s="51">
        <f>AVERAGEIFS(Data!$H$14:$H$167,Data!$C$14:$C$167,A107,Data!$B$14:$B$167,"Hra")</f>
        <v>9</v>
      </c>
      <c r="C107" s="51">
        <f>IF(ISERR(AVERAGEIFS(Data!$H$14:$H$167,Data!$C$14:$C$167,A107,Data!$B$14:$B$167,"Rozšíření")),0,AVERAGEIFS(Data!$H$14:$H$167,Data!$C$14:$C$167,A107,Data!$B$14:$B$167,"Rozšíření"))</f>
        <v>0</v>
      </c>
      <c r="D107" s="52">
        <f t="shared" si="3"/>
        <v>81.5</v>
      </c>
      <c r="E107" s="52" t="str">
        <f t="shared" si="4"/>
        <v>-</v>
      </c>
      <c r="F107" s="60" t="str">
        <f t="shared" ca="1" si="5"/>
        <v>9 let</v>
      </c>
      <c r="R107" s="23">
        <f>HLOOKUP("Datum vydání",Data!$A$13:$R$167,MATCH(A107,Data!$C$14:$C$167,0)+1,)</f>
        <v>39906</v>
      </c>
      <c r="S107" s="1">
        <f>IF(ISERR(AVERAGEIFS(Data!$J$14:$J$167,Data!$C$14:$C$167,Výpočty!A107,Data!$B$14:$B$167,"Hra")),"",AVERAGEIFS(Data!$J$14:$J$167,Data!$C$14:$C$167,Výpočty!A107,Data!$B$14:$B$167,"Hra"))</f>
        <v>89</v>
      </c>
      <c r="T107" s="1">
        <f>IF(ISERR(AVERAGEIFS(Data!$K$14:$K$167,Data!$C$14:$C$167,Výpočty!A107,Data!$B$14:$B$167,"Hra")),"",AVERAGEIFS(Data!$K$14:$K$167,Data!$C$14:$C$167,Výpočty!A107,Data!$B$14:$B$167,"Hra"))</f>
        <v>74</v>
      </c>
      <c r="U107" s="1" t="str">
        <f>IF(ISERR(AVERAGEIFS(Data!$L$14:$L$167,Data!$C$14:$C$167,Výpočty!A107,Data!$B$14:$B$167,"Hra")),"",AVERAGEIFS(Data!$L$14:$L$167,Data!$C$14:$C$167,Výpočty!A107,Data!$B$14:$B$167,"Hra"))</f>
        <v/>
      </c>
      <c r="V107" s="1" t="str">
        <f>IF(ISERR(AVERAGEIFS(Data!$J$14:$J$167,Data!$C$14:$C$167,Výpočty!A107,Data!$B$14:$B$167,"Rozšíření")),"",AVERAGEIFS(Data!$J$14:$J$167,Data!$C$14:$C$167,Výpočty!A107,Data!$B$14:$B$167,"Rozšíření"))</f>
        <v/>
      </c>
      <c r="W107" s="1" t="str">
        <f>IF(ISERR(AVERAGEIFS(Data!$K$14:$K$167,Data!$C$14:$C$167,Výpočty!A107,Data!$B$14:$B$167,"Rozšíření")),"",AVERAGEIFS(Data!$K$14:$K$167,Data!$C$14:$C$167,Výpočty!A107,Data!$B$14:$B$167,"Rozšíření"))</f>
        <v/>
      </c>
      <c r="X107" s="1" t="str">
        <f>IF(ISERR(AVERAGEIFS(Data!$L$14:$L$167,Data!$C$14:$C$167,Výpočty!A107,Data!$B$14:$B$167,"Rozšíření")),"",AVERAGEIFS(Data!$L$14:$L$167,Data!$C$14:$C$167,Výpočty!A107,Data!$B$14:$B$167,"Rozšíření"))</f>
        <v/>
      </c>
    </row>
    <row r="108" spans="1:24" x14ac:dyDescent="0.25">
      <c r="A108" s="50" t="s">
        <v>48</v>
      </c>
      <c r="B108" s="51">
        <f>AVERAGEIFS(Data!$H$14:$H$167,Data!$C$14:$C$167,A108,Data!$B$14:$B$167,"Hra")</f>
        <v>16.5</v>
      </c>
      <c r="C108" s="51">
        <f>IF(ISERR(AVERAGEIFS(Data!$H$14:$H$167,Data!$C$14:$C$167,A108,Data!$B$14:$B$167,"Rozšíření")),0,AVERAGEIFS(Data!$H$14:$H$167,Data!$C$14:$C$167,A108,Data!$B$14:$B$167,"Rozšíření"))</f>
        <v>0</v>
      </c>
      <c r="D108" s="52">
        <f t="shared" si="3"/>
        <v>94</v>
      </c>
      <c r="E108" s="52" t="str">
        <f t="shared" si="4"/>
        <v>-</v>
      </c>
      <c r="F108" s="60" t="str">
        <f t="shared" ca="1" si="5"/>
        <v>11 let</v>
      </c>
      <c r="R108" s="23">
        <f>HLOOKUP("Datum vydání",Data!$A$13:$R$167,MATCH(A108,Data!$C$14:$C$167,0)+1,)</f>
        <v>39192</v>
      </c>
      <c r="S108" s="1">
        <f>IF(ISERR(AVERAGEIFS(Data!$J$14:$J$167,Data!$C$14:$C$167,Výpočty!A108,Data!$B$14:$B$167,"Hra")),"",AVERAGEIFS(Data!$J$14:$J$167,Data!$C$14:$C$167,Výpočty!A108,Data!$B$14:$B$167,"Hra"))</f>
        <v>94</v>
      </c>
      <c r="T108" s="1" t="str">
        <f>IF(ISERR(AVERAGEIFS(Data!$K$14:$K$167,Data!$C$14:$C$167,Výpočty!A108,Data!$B$14:$B$167,"Hra")),"",AVERAGEIFS(Data!$K$14:$K$167,Data!$C$14:$C$167,Výpočty!A108,Data!$B$14:$B$167,"Hra"))</f>
        <v/>
      </c>
      <c r="U108" s="1" t="str">
        <f>IF(ISERR(AVERAGEIFS(Data!$L$14:$L$167,Data!$C$14:$C$167,Výpočty!A108,Data!$B$14:$B$167,"Hra")),"",AVERAGEIFS(Data!$L$14:$L$167,Data!$C$14:$C$167,Výpočty!A108,Data!$B$14:$B$167,"Hra"))</f>
        <v/>
      </c>
      <c r="V108" s="1" t="str">
        <f>IF(ISERR(AVERAGEIFS(Data!$J$14:$J$167,Data!$C$14:$C$167,Výpočty!A108,Data!$B$14:$B$167,"Rozšíření")),"",AVERAGEIFS(Data!$J$14:$J$167,Data!$C$14:$C$167,Výpočty!A108,Data!$B$14:$B$167,"Rozšíření"))</f>
        <v/>
      </c>
      <c r="W108" s="1" t="str">
        <f>IF(ISERR(AVERAGEIFS(Data!$K$14:$K$167,Data!$C$14:$C$167,Výpočty!A108,Data!$B$14:$B$167,"Rozšíření")),"",AVERAGEIFS(Data!$K$14:$K$167,Data!$C$14:$C$167,Výpočty!A108,Data!$B$14:$B$167,"Rozšíření"))</f>
        <v/>
      </c>
      <c r="X108" s="1" t="str">
        <f>IF(ISERR(AVERAGEIFS(Data!$L$14:$L$167,Data!$C$14:$C$167,Výpočty!A108,Data!$B$14:$B$167,"Rozšíření")),"",AVERAGEIFS(Data!$L$14:$L$167,Data!$C$14:$C$167,Výpočty!A108,Data!$B$14:$B$167,"Rozšíření"))</f>
        <v/>
      </c>
    </row>
    <row r="109" spans="1:24" x14ac:dyDescent="0.25">
      <c r="A109" s="50" t="s">
        <v>293</v>
      </c>
      <c r="B109" s="51">
        <f>AVERAGEIFS(Data!$H$14:$H$167,Data!$C$14:$C$167,A109,Data!$B$14:$B$167,"Hra")</f>
        <v>11</v>
      </c>
      <c r="C109" s="51">
        <f>IF(ISERR(AVERAGEIFS(Data!$H$14:$H$167,Data!$C$14:$C$167,A109,Data!$B$14:$B$167,"Rozšíření")),0,AVERAGEIFS(Data!$H$14:$H$167,Data!$C$14:$C$167,A109,Data!$B$14:$B$167,"Rozšíření"))</f>
        <v>0</v>
      </c>
      <c r="D109" s="52">
        <f t="shared" si="3"/>
        <v>92</v>
      </c>
      <c r="E109" s="52" t="str">
        <f t="shared" si="4"/>
        <v>-</v>
      </c>
      <c r="F109" s="60" t="str">
        <f t="shared" ca="1" si="5"/>
        <v>11 let</v>
      </c>
      <c r="R109" s="23">
        <f>HLOOKUP("Datum vydání",Data!$A$13:$R$167,MATCH(A109,Data!$C$14:$C$167,0)+1,)</f>
        <v>39123</v>
      </c>
      <c r="S109" s="1" t="str">
        <f>IF(ISERR(AVERAGEIFS(Data!$J$14:$J$167,Data!$C$14:$C$167,Výpočty!A109,Data!$B$14:$B$167,"Hra")),"",AVERAGEIFS(Data!$J$14:$J$167,Data!$C$14:$C$167,Výpočty!A109,Data!$B$14:$B$167,"Hra"))</f>
        <v/>
      </c>
      <c r="T109" s="1">
        <f>IF(ISERR(AVERAGEIFS(Data!$K$14:$K$167,Data!$C$14:$C$167,Výpočty!A109,Data!$B$14:$B$167,"Hra")),"",AVERAGEIFS(Data!$K$14:$K$167,Data!$C$14:$C$167,Výpočty!A109,Data!$B$14:$B$167,"Hra"))</f>
        <v>92</v>
      </c>
      <c r="U109" s="1" t="str">
        <f>IF(ISERR(AVERAGEIFS(Data!$L$14:$L$167,Data!$C$14:$C$167,Výpočty!A109,Data!$B$14:$B$167,"Hra")),"",AVERAGEIFS(Data!$L$14:$L$167,Data!$C$14:$C$167,Výpočty!A109,Data!$B$14:$B$167,"Hra"))</f>
        <v/>
      </c>
      <c r="V109" s="1" t="str">
        <f>IF(ISERR(AVERAGEIFS(Data!$J$14:$J$167,Data!$C$14:$C$167,Výpočty!A109,Data!$B$14:$B$167,"Rozšíření")),"",AVERAGEIFS(Data!$J$14:$J$167,Data!$C$14:$C$167,Výpočty!A109,Data!$B$14:$B$167,"Rozšíření"))</f>
        <v/>
      </c>
      <c r="W109" s="1" t="str">
        <f>IF(ISERR(AVERAGEIFS(Data!$K$14:$K$167,Data!$C$14:$C$167,Výpočty!A109,Data!$B$14:$B$167,"Rozšíření")),"",AVERAGEIFS(Data!$K$14:$K$167,Data!$C$14:$C$167,Výpočty!A109,Data!$B$14:$B$167,"Rozšíření"))</f>
        <v/>
      </c>
      <c r="X109" s="1" t="str">
        <f>IF(ISERR(AVERAGEIFS(Data!$L$14:$L$167,Data!$C$14:$C$167,Výpočty!A109,Data!$B$14:$B$167,"Rozšíření")),"",AVERAGEIFS(Data!$L$14:$L$167,Data!$C$14:$C$167,Výpočty!A109,Data!$B$14:$B$167,"Rozšíření"))</f>
        <v/>
      </c>
    </row>
    <row r="110" spans="1:24" x14ac:dyDescent="0.25">
      <c r="A110" s="50" t="s">
        <v>114</v>
      </c>
      <c r="B110" s="51">
        <f>AVERAGEIFS(Data!$H$14:$H$167,Data!$C$14:$C$167,A110,Data!$B$14:$B$167,"Hra")</f>
        <v>11</v>
      </c>
      <c r="C110" s="51">
        <f>IF(ISERR(AVERAGEIFS(Data!$H$14:$H$167,Data!$C$14:$C$167,A110,Data!$B$14:$B$167,"Rozšíření")),0,AVERAGEIFS(Data!$H$14:$H$167,Data!$C$14:$C$167,A110,Data!$B$14:$B$167,"Rozšíření"))</f>
        <v>0</v>
      </c>
      <c r="D110" s="52">
        <f t="shared" si="3"/>
        <v>88</v>
      </c>
      <c r="E110" s="52" t="str">
        <f t="shared" si="4"/>
        <v>-</v>
      </c>
      <c r="F110" s="60" t="str">
        <f t="shared" ca="1" si="5"/>
        <v>15 let</v>
      </c>
      <c r="R110" s="23">
        <f>HLOOKUP("Datum vydání",Data!$A$13:$R$167,MATCH(A110,Data!$C$14:$C$167,0)+1,)</f>
        <v>37939</v>
      </c>
      <c r="S110" s="1">
        <f>IF(ISERR(AVERAGEIFS(Data!$J$14:$J$167,Data!$C$14:$C$167,Výpočty!A110,Data!$B$14:$B$167,"Hra")),"",AVERAGEIFS(Data!$J$14:$J$167,Data!$C$14:$C$167,Výpočty!A110,Data!$B$14:$B$167,"Hra"))</f>
        <v>90</v>
      </c>
      <c r="T110" s="1">
        <f>IF(ISERR(AVERAGEIFS(Data!$K$14:$K$167,Data!$C$14:$C$167,Výpočty!A110,Data!$B$14:$B$167,"Hra")),"",AVERAGEIFS(Data!$K$14:$K$167,Data!$C$14:$C$167,Výpočty!A110,Data!$B$14:$B$167,"Hra"))</f>
        <v>86</v>
      </c>
      <c r="U110" s="1" t="str">
        <f>IF(ISERR(AVERAGEIFS(Data!$L$14:$L$167,Data!$C$14:$C$167,Výpočty!A110,Data!$B$14:$B$167,"Hra")),"",AVERAGEIFS(Data!$L$14:$L$167,Data!$C$14:$C$167,Výpočty!A110,Data!$B$14:$B$167,"Hra"))</f>
        <v/>
      </c>
      <c r="V110" s="1" t="str">
        <f>IF(ISERR(AVERAGEIFS(Data!$J$14:$J$167,Data!$C$14:$C$167,Výpočty!A110,Data!$B$14:$B$167,"Rozšíření")),"",AVERAGEIFS(Data!$J$14:$J$167,Data!$C$14:$C$167,Výpočty!A110,Data!$B$14:$B$167,"Rozšíření"))</f>
        <v/>
      </c>
      <c r="W110" s="1" t="str">
        <f>IF(ISERR(AVERAGEIFS(Data!$K$14:$K$167,Data!$C$14:$C$167,Výpočty!A110,Data!$B$14:$B$167,"Rozšíření")),"",AVERAGEIFS(Data!$K$14:$K$167,Data!$C$14:$C$167,Výpočty!A110,Data!$B$14:$B$167,"Rozšíření"))</f>
        <v/>
      </c>
      <c r="X110" s="1" t="str">
        <f>IF(ISERR(AVERAGEIFS(Data!$L$14:$L$167,Data!$C$14:$C$167,Výpočty!A110,Data!$B$14:$B$167,"Rozšíření")),"",AVERAGEIFS(Data!$L$14:$L$167,Data!$C$14:$C$167,Výpočty!A110,Data!$B$14:$B$167,"Rozšíření"))</f>
        <v/>
      </c>
    </row>
    <row r="111" spans="1:24" x14ac:dyDescent="0.25">
      <c r="A111" s="50" t="s">
        <v>295</v>
      </c>
      <c r="B111" s="51">
        <f>AVERAGEIFS(Data!$H$14:$H$167,Data!$C$14:$C$167,A111,Data!$B$14:$B$167,"Hra")</f>
        <v>16</v>
      </c>
      <c r="C111" s="51">
        <f>IF(ISERR(AVERAGEIFS(Data!$H$14:$H$167,Data!$C$14:$C$167,A111,Data!$B$14:$B$167,"Rozšíření")),0,AVERAGEIFS(Data!$H$14:$H$167,Data!$C$14:$C$167,A111,Data!$B$14:$B$167,"Rozšíření"))</f>
        <v>0</v>
      </c>
      <c r="D111" s="52">
        <f t="shared" si="3"/>
        <v>91</v>
      </c>
      <c r="E111" s="52" t="str">
        <f t="shared" si="4"/>
        <v>-</v>
      </c>
      <c r="F111" s="60" t="str">
        <f t="shared" ca="1" si="5"/>
        <v>16 let</v>
      </c>
      <c r="R111" s="23">
        <f>HLOOKUP("Datum vydání",Data!$A$13:$R$167,MATCH(A111,Data!$C$14:$C$167,0)+1,)</f>
        <v>37496</v>
      </c>
      <c r="S111" s="1">
        <f>IF(ISERR(AVERAGEIFS(Data!$J$14:$J$167,Data!$C$14:$C$167,Výpočty!A111,Data!$B$14:$B$167,"Hra")),"",AVERAGEIFS(Data!$J$14:$J$167,Data!$C$14:$C$167,Výpočty!A111,Data!$B$14:$B$167,"Hra"))</f>
        <v>91</v>
      </c>
      <c r="T111" s="1" t="str">
        <f>IF(ISERR(AVERAGEIFS(Data!$K$14:$K$167,Data!$C$14:$C$167,Výpočty!A111,Data!$B$14:$B$167,"Hra")),"",AVERAGEIFS(Data!$K$14:$K$167,Data!$C$14:$C$167,Výpočty!A111,Data!$B$14:$B$167,"Hra"))</f>
        <v/>
      </c>
      <c r="U111" s="1" t="str">
        <f>IF(ISERR(AVERAGEIFS(Data!$L$14:$L$167,Data!$C$14:$C$167,Výpočty!A111,Data!$B$14:$B$167,"Hra")),"",AVERAGEIFS(Data!$L$14:$L$167,Data!$C$14:$C$167,Výpočty!A111,Data!$B$14:$B$167,"Hra"))</f>
        <v/>
      </c>
      <c r="V111" s="1" t="str">
        <f>IF(ISERR(AVERAGEIFS(Data!$J$14:$J$167,Data!$C$14:$C$167,Výpočty!A111,Data!$B$14:$B$167,"Rozšíření")),"",AVERAGEIFS(Data!$J$14:$J$167,Data!$C$14:$C$167,Výpočty!A111,Data!$B$14:$B$167,"Rozšíření"))</f>
        <v/>
      </c>
      <c r="W111" s="1" t="str">
        <f>IF(ISERR(AVERAGEIFS(Data!$K$14:$K$167,Data!$C$14:$C$167,Výpočty!A111,Data!$B$14:$B$167,"Rozšíření")),"",AVERAGEIFS(Data!$K$14:$K$167,Data!$C$14:$C$167,Výpočty!A111,Data!$B$14:$B$167,"Rozšíření"))</f>
        <v/>
      </c>
      <c r="X111" s="1" t="str">
        <f>IF(ISERR(AVERAGEIFS(Data!$L$14:$L$167,Data!$C$14:$C$167,Výpočty!A111,Data!$B$14:$B$167,"Rozšíření")),"",AVERAGEIFS(Data!$L$14:$L$167,Data!$C$14:$C$167,Výpočty!A111,Data!$B$14:$B$167,"Rozšíření"))</f>
        <v/>
      </c>
    </row>
    <row r="112" spans="1:24" x14ac:dyDescent="0.25">
      <c r="A112" s="50" t="s">
        <v>375</v>
      </c>
      <c r="B112" s="51">
        <f>AVERAGEIFS(Data!$H$14:$H$167,Data!$C$14:$C$167,A112,Data!$B$14:$B$167,"Hra")</f>
        <v>8</v>
      </c>
      <c r="C112" s="51">
        <f>IF(ISERR(AVERAGEIFS(Data!$H$14:$H$167,Data!$C$14:$C$167,A112,Data!$B$14:$B$167,"Rozšíření")),0,AVERAGEIFS(Data!$H$14:$H$167,Data!$C$14:$C$167,A112,Data!$B$14:$B$167,"Rozšíření"))</f>
        <v>0</v>
      </c>
      <c r="D112" s="52">
        <f t="shared" si="3"/>
        <v>91</v>
      </c>
      <c r="E112" s="52" t="str">
        <f t="shared" si="4"/>
        <v>-</v>
      </c>
      <c r="F112" s="60" t="str">
        <f t="shared" ca="1" si="5"/>
        <v>17 let</v>
      </c>
      <c r="R112" s="23">
        <f>HLOOKUP("Datum vydání",Data!$A$13:$R$167,MATCH(A112,Data!$C$14:$C$167,0)+1,)</f>
        <v>37214</v>
      </c>
      <c r="S112" s="1">
        <f>IF(ISERR(AVERAGEIFS(Data!$J$14:$J$167,Data!$C$14:$C$167,Výpočty!A112,Data!$B$14:$B$167,"Hra")),"",AVERAGEIFS(Data!$J$14:$J$167,Data!$C$14:$C$167,Výpočty!A112,Data!$B$14:$B$167,"Hra"))</f>
        <v>91</v>
      </c>
      <c r="T112" s="1" t="str">
        <f>IF(ISERR(AVERAGEIFS(Data!$K$14:$K$167,Data!$C$14:$C$167,Výpočty!A112,Data!$B$14:$B$167,"Hra")),"",AVERAGEIFS(Data!$K$14:$K$167,Data!$C$14:$C$167,Výpočty!A112,Data!$B$14:$B$167,"Hra"))</f>
        <v/>
      </c>
      <c r="U112" s="1" t="str">
        <f>IF(ISERR(AVERAGEIFS(Data!$L$14:$L$167,Data!$C$14:$C$167,Výpočty!A112,Data!$B$14:$B$167,"Hra")),"",AVERAGEIFS(Data!$L$14:$L$167,Data!$C$14:$C$167,Výpočty!A112,Data!$B$14:$B$167,"Hra"))</f>
        <v/>
      </c>
      <c r="V112" s="1" t="str">
        <f>IF(ISERR(AVERAGEIFS(Data!$J$14:$J$167,Data!$C$14:$C$167,Výpočty!A112,Data!$B$14:$B$167,"Rozšíření")),"",AVERAGEIFS(Data!$J$14:$J$167,Data!$C$14:$C$167,Výpočty!A112,Data!$B$14:$B$167,"Rozšíření"))</f>
        <v/>
      </c>
      <c r="W112" s="1" t="str">
        <f>IF(ISERR(AVERAGEIFS(Data!$K$14:$K$167,Data!$C$14:$C$167,Výpočty!A112,Data!$B$14:$B$167,"Rozšíření")),"",AVERAGEIFS(Data!$K$14:$K$167,Data!$C$14:$C$167,Výpočty!A112,Data!$B$14:$B$167,"Rozšíření"))</f>
        <v/>
      </c>
      <c r="X112" s="1" t="str">
        <f>IF(ISERR(AVERAGEIFS(Data!$L$14:$L$167,Data!$C$14:$C$167,Výpočty!A112,Data!$B$14:$B$167,"Rozšíření")),"",AVERAGEIFS(Data!$L$14:$L$167,Data!$C$14:$C$167,Výpočty!A112,Data!$B$14:$B$167,"Rozšíření"))</f>
        <v/>
      </c>
    </row>
    <row r="113" spans="1:24" x14ac:dyDescent="0.25">
      <c r="A113" s="50" t="s">
        <v>304</v>
      </c>
      <c r="B113" s="51">
        <f>AVERAGEIFS(Data!$H$14:$H$167,Data!$C$14:$C$167,A113,Data!$B$14:$B$167,"Hra")</f>
        <v>11</v>
      </c>
      <c r="C113" s="51">
        <f>IF(ISERR(AVERAGEIFS(Data!$H$14:$H$167,Data!$C$14:$C$167,A113,Data!$B$14:$B$167,"Rozšíření")),0,AVERAGEIFS(Data!$H$14:$H$167,Data!$C$14:$C$167,A113,Data!$B$14:$B$167,"Rozšíření"))</f>
        <v>0</v>
      </c>
      <c r="D113" s="52">
        <f t="shared" si="3"/>
        <v>88</v>
      </c>
      <c r="E113" s="52" t="str">
        <f t="shared" si="4"/>
        <v>-</v>
      </c>
      <c r="F113" s="60" t="str">
        <f t="shared" ca="1" si="5"/>
        <v>20 let</v>
      </c>
      <c r="R113" s="23">
        <f>HLOOKUP("Datum vydání",Data!$A$13:$R$167,MATCH(A113,Data!$C$14:$C$167,0)+1,)</f>
        <v>35976</v>
      </c>
      <c r="S113" s="1" t="str">
        <f>IF(ISERR(AVERAGEIFS(Data!$J$14:$J$167,Data!$C$14:$C$167,Výpočty!A113,Data!$B$14:$B$167,"Hra")),"",AVERAGEIFS(Data!$J$14:$J$167,Data!$C$14:$C$167,Výpočty!A113,Data!$B$14:$B$167,"Hra"))</f>
        <v/>
      </c>
      <c r="T113" s="1">
        <f>IF(ISERR(AVERAGEIFS(Data!$K$14:$K$167,Data!$C$14:$C$167,Výpočty!A113,Data!$B$14:$B$167,"Hra")),"",AVERAGEIFS(Data!$K$14:$K$167,Data!$C$14:$C$167,Výpočty!A113,Data!$B$14:$B$167,"Hra"))</f>
        <v>88</v>
      </c>
      <c r="U113" s="1" t="str">
        <f>IF(ISERR(AVERAGEIFS(Data!$L$14:$L$167,Data!$C$14:$C$167,Výpočty!A113,Data!$B$14:$B$167,"Hra")),"",AVERAGEIFS(Data!$L$14:$L$167,Data!$C$14:$C$167,Výpočty!A113,Data!$B$14:$B$167,"Hra"))</f>
        <v/>
      </c>
      <c r="V113" s="1" t="str">
        <f>IF(ISERR(AVERAGEIFS(Data!$J$14:$J$167,Data!$C$14:$C$167,Výpočty!A113,Data!$B$14:$B$167,"Rozšíření")),"",AVERAGEIFS(Data!$J$14:$J$167,Data!$C$14:$C$167,Výpočty!A113,Data!$B$14:$B$167,"Rozšíření"))</f>
        <v/>
      </c>
      <c r="W113" s="1" t="str">
        <f>IF(ISERR(AVERAGEIFS(Data!$K$14:$K$167,Data!$C$14:$C$167,Výpočty!A113,Data!$B$14:$B$167,"Rozšíření")),"",AVERAGEIFS(Data!$K$14:$K$167,Data!$C$14:$C$167,Výpočty!A113,Data!$B$14:$B$167,"Rozšíření"))</f>
        <v/>
      </c>
      <c r="X113" s="1" t="str">
        <f>IF(ISERR(AVERAGEIFS(Data!$L$14:$L$167,Data!$C$14:$C$167,Výpočty!A113,Data!$B$14:$B$167,"Rozšíření")),"",AVERAGEIFS(Data!$L$14:$L$167,Data!$C$14:$C$167,Výpočty!A113,Data!$B$14:$B$167,"Rozšíření"))</f>
        <v/>
      </c>
    </row>
    <row r="170" spans="1:1" x14ac:dyDescent="0.25">
      <c r="A170" s="50"/>
    </row>
    <row r="171" spans="1:1" x14ac:dyDescent="0.25">
      <c r="A171" s="61"/>
    </row>
    <row r="172" spans="1:1" x14ac:dyDescent="0.25">
      <c r="A172" s="61"/>
    </row>
    <row r="173" spans="1:1" x14ac:dyDescent="0.25">
      <c r="A173" s="61"/>
    </row>
    <row r="174" spans="1:1" x14ac:dyDescent="0.25">
      <c r="A174" s="61"/>
    </row>
    <row r="175" spans="1:1" x14ac:dyDescent="0.25">
      <c r="A175" s="61"/>
    </row>
    <row r="176" spans="1:1" x14ac:dyDescent="0.25">
      <c r="A176" s="61"/>
    </row>
    <row r="177" spans="1:1" x14ac:dyDescent="0.25">
      <c r="A177" s="61"/>
    </row>
    <row r="178" spans="1:1" x14ac:dyDescent="0.25">
      <c r="A178" s="61"/>
    </row>
    <row r="179" spans="1:1" x14ac:dyDescent="0.25">
      <c r="A179" s="61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27D80-D056-496B-9EC6-44CBE32F2848}">
  <sheetPr codeName="List5"/>
  <dimension ref="A1:C53"/>
  <sheetViews>
    <sheetView workbookViewId="0">
      <selection activeCell="M8" sqref="M8"/>
    </sheetView>
  </sheetViews>
  <sheetFormatPr defaultRowHeight="15" x14ac:dyDescent="0.25"/>
  <cols>
    <col min="1" max="1" width="14.42578125" style="1" bestFit="1" customWidth="1"/>
    <col min="2" max="2" width="14.7109375" style="1" bestFit="1" customWidth="1"/>
    <col min="3" max="3" width="22.7109375" style="1" bestFit="1" customWidth="1"/>
    <col min="4" max="4" width="14.7109375" style="1" bestFit="1" customWidth="1"/>
    <col min="5" max="6" width="22.7109375" style="1" bestFit="1" customWidth="1"/>
    <col min="7" max="7" width="26" style="1" bestFit="1" customWidth="1"/>
    <col min="8" max="8" width="11" style="1" bestFit="1" customWidth="1"/>
    <col min="9" max="9" width="3" style="1" customWidth="1"/>
    <col min="10" max="10" width="2" style="1" bestFit="1" customWidth="1"/>
    <col min="11" max="11" width="16.42578125" style="1" bestFit="1" customWidth="1"/>
    <col min="12" max="12" width="14.42578125" style="1" bestFit="1" customWidth="1"/>
    <col min="13" max="13" width="23.7109375" style="1" bestFit="1" customWidth="1"/>
    <col min="14" max="14" width="11" style="1" bestFit="1" customWidth="1"/>
    <col min="15" max="15" width="20.140625" style="1" bestFit="1" customWidth="1"/>
    <col min="16" max="16" width="10.85546875" style="1" bestFit="1" customWidth="1"/>
    <col min="17" max="17" width="20.140625" style="1" bestFit="1" customWidth="1"/>
    <col min="18" max="18" width="10.85546875" style="1" bestFit="1" customWidth="1"/>
    <col min="19" max="19" width="20.140625" style="1" bestFit="1" customWidth="1"/>
    <col min="20" max="20" width="19.7109375" style="1" bestFit="1" customWidth="1"/>
    <col min="21" max="21" width="29" style="1" bestFit="1" customWidth="1"/>
    <col min="22" max="22" width="18.28515625" style="1" bestFit="1" customWidth="1"/>
    <col min="23" max="23" width="27.5703125" style="1" bestFit="1" customWidth="1"/>
    <col min="24" max="24" width="2.85546875" style="1" bestFit="1" customWidth="1"/>
    <col min="25" max="25" width="3.42578125" style="1" bestFit="1" customWidth="1"/>
    <col min="26" max="26" width="4" style="1" bestFit="1" customWidth="1"/>
    <col min="27" max="29" width="3" style="1" bestFit="1" customWidth="1"/>
    <col min="30" max="30" width="3.28515625" style="1" bestFit="1" customWidth="1"/>
    <col min="31" max="31" width="10" style="1" bestFit="1" customWidth="1"/>
    <col min="32" max="32" width="3.85546875" style="1" bestFit="1" customWidth="1"/>
    <col min="33" max="33" width="2.140625" style="1" bestFit="1" customWidth="1"/>
    <col min="34" max="34" width="2.7109375" style="1" bestFit="1" customWidth="1"/>
    <col min="35" max="36" width="2.85546875" style="1" bestFit="1" customWidth="1"/>
    <col min="37" max="37" width="4" style="1" bestFit="1" customWidth="1"/>
    <col min="38" max="38" width="2.7109375" style="1" bestFit="1" customWidth="1"/>
    <col min="39" max="39" width="2.140625" style="1" bestFit="1" customWidth="1"/>
    <col min="40" max="40" width="2.7109375" style="1" bestFit="1" customWidth="1"/>
    <col min="41" max="41" width="9.140625" style="1" bestFit="1" customWidth="1"/>
    <col min="42" max="42" width="11.140625" style="1" bestFit="1" customWidth="1"/>
    <col min="43" max="43" width="11" style="1" bestFit="1" customWidth="1"/>
    <col min="44" max="44" width="9.140625" style="1" bestFit="1" customWidth="1"/>
    <col min="45" max="45" width="4.7109375" style="1" bestFit="1" customWidth="1"/>
    <col min="46" max="46" width="2.28515625" style="1" bestFit="1" customWidth="1"/>
    <col min="47" max="47" width="2.85546875" style="1" bestFit="1" customWidth="1"/>
    <col min="48" max="48" width="3.42578125" style="1" bestFit="1" customWidth="1"/>
    <col min="49" max="49" width="4" style="1" bestFit="1" customWidth="1"/>
    <col min="50" max="50" width="2.140625" style="1" bestFit="1" customWidth="1"/>
    <col min="51" max="51" width="2.7109375" style="1" bestFit="1" customWidth="1"/>
    <col min="52" max="52" width="3.28515625" style="1" bestFit="1" customWidth="1"/>
    <col min="53" max="53" width="10" style="1" bestFit="1" customWidth="1"/>
    <col min="54" max="54" width="3.85546875" style="1" bestFit="1" customWidth="1"/>
    <col min="55" max="55" width="3.28515625" style="1" bestFit="1" customWidth="1"/>
    <col min="56" max="56" width="9.140625" style="1" bestFit="1" customWidth="1"/>
    <col min="57" max="57" width="16.42578125" style="1" bestFit="1" customWidth="1"/>
    <col min="58" max="58" width="14.42578125" style="1" bestFit="1" customWidth="1"/>
    <col min="59" max="59" width="6.85546875" style="1" bestFit="1" customWidth="1"/>
    <col min="60" max="60" width="9.140625" style="1" bestFit="1" customWidth="1"/>
    <col min="61" max="61" width="16.42578125" style="1" bestFit="1" customWidth="1"/>
    <col min="62" max="62" width="14.42578125" style="1" bestFit="1" customWidth="1"/>
    <col min="63" max="63" width="6.85546875" style="1" bestFit="1" customWidth="1"/>
    <col min="64" max="64" width="12" style="1" bestFit="1" customWidth="1"/>
    <col min="65" max="65" width="6.7109375" style="1" bestFit="1" customWidth="1"/>
    <col min="66" max="66" width="12" style="1" bestFit="1" customWidth="1"/>
    <col min="67" max="67" width="12.140625" style="1" bestFit="1" customWidth="1"/>
    <col min="68" max="68" width="6.85546875" style="1" bestFit="1" customWidth="1"/>
    <col min="69" max="69" width="12" style="1" bestFit="1" customWidth="1"/>
    <col min="70" max="70" width="12.140625" style="1" bestFit="1" customWidth="1"/>
    <col min="71" max="71" width="6.85546875" style="1" bestFit="1" customWidth="1"/>
    <col min="72" max="72" width="12" style="1" bestFit="1" customWidth="1"/>
    <col min="73" max="73" width="6.7109375" style="1" bestFit="1" customWidth="1"/>
    <col min="74" max="74" width="12" style="1" bestFit="1" customWidth="1"/>
    <col min="75" max="75" width="6.7109375" style="1" bestFit="1" customWidth="1"/>
    <col min="76" max="76" width="12" style="1" bestFit="1" customWidth="1"/>
    <col min="77" max="77" width="6.7109375" style="1" bestFit="1" customWidth="1"/>
    <col min="78" max="78" width="12" style="1" bestFit="1" customWidth="1"/>
    <col min="79" max="79" width="12.140625" style="1" bestFit="1" customWidth="1"/>
    <col min="80" max="80" width="6.85546875" style="1" bestFit="1" customWidth="1"/>
    <col min="81" max="81" width="12" style="1" bestFit="1" customWidth="1"/>
    <col min="82" max="82" width="6.7109375" style="1" bestFit="1" customWidth="1"/>
    <col min="83" max="83" width="12" style="1" bestFit="1" customWidth="1"/>
    <col min="84" max="84" width="12.140625" style="1" bestFit="1" customWidth="1"/>
    <col min="85" max="85" width="6.85546875" style="1" bestFit="1" customWidth="1"/>
    <col min="86" max="86" width="12" style="1" bestFit="1" customWidth="1"/>
    <col min="87" max="87" width="12.140625" style="1" bestFit="1" customWidth="1"/>
    <col min="88" max="88" width="6.85546875" style="1" bestFit="1" customWidth="1"/>
    <col min="89" max="89" width="12" style="1" bestFit="1" customWidth="1"/>
    <col min="90" max="90" width="6.7109375" style="1" bestFit="1" customWidth="1"/>
    <col min="91" max="91" width="2.85546875" style="1" bestFit="1" customWidth="1"/>
    <col min="92" max="92" width="12" style="1" bestFit="1" customWidth="1"/>
    <col min="93" max="93" width="6.7109375" style="1" bestFit="1" customWidth="1"/>
    <col min="94" max="94" width="12" style="1" bestFit="1" customWidth="1"/>
    <col min="95" max="95" width="12.140625" style="1" bestFit="1" customWidth="1"/>
    <col min="96" max="96" width="6.85546875" style="1" bestFit="1" customWidth="1"/>
    <col min="97" max="97" width="2.28515625" style="1" bestFit="1" customWidth="1"/>
    <col min="98" max="98" width="12" style="1" bestFit="1" customWidth="1"/>
    <col min="99" max="99" width="6.7109375" style="1" bestFit="1" customWidth="1"/>
    <col min="100" max="100" width="2.7109375" style="1" bestFit="1" customWidth="1"/>
    <col min="101" max="101" width="12" style="1" bestFit="1" customWidth="1"/>
    <col min="102" max="102" width="6.7109375" style="1" bestFit="1" customWidth="1"/>
    <col min="103" max="103" width="12" style="1" bestFit="1" customWidth="1"/>
    <col min="104" max="104" width="12.140625" style="1" bestFit="1" customWidth="1"/>
    <col min="105" max="105" width="6.85546875" style="1" bestFit="1" customWidth="1"/>
    <col min="106" max="106" width="12" style="1" bestFit="1" customWidth="1"/>
    <col min="107" max="107" width="6.7109375" style="1" bestFit="1" customWidth="1"/>
    <col min="108" max="108" width="2.7109375" style="1" bestFit="1" customWidth="1"/>
    <col min="109" max="109" width="12" style="1" bestFit="1" customWidth="1"/>
    <col min="110" max="110" width="6.7109375" style="1" bestFit="1" customWidth="1"/>
    <col min="111" max="111" width="2.7109375" style="1" bestFit="1" customWidth="1"/>
    <col min="112" max="112" width="12" style="1" bestFit="1" customWidth="1"/>
    <col min="113" max="113" width="12.140625" style="1" bestFit="1" customWidth="1"/>
    <col min="114" max="114" width="6.85546875" style="1" bestFit="1" customWidth="1"/>
    <col min="115" max="115" width="2.28515625" style="1" bestFit="1" customWidth="1"/>
    <col min="116" max="116" width="2.85546875" style="1" bestFit="1" customWidth="1"/>
    <col min="117" max="117" width="12" style="1" bestFit="1" customWidth="1"/>
    <col min="118" max="118" width="6.7109375" style="1" bestFit="1" customWidth="1"/>
    <col min="119" max="119" width="2.7109375" style="1" bestFit="1" customWidth="1"/>
    <col min="120" max="120" width="12" style="1" bestFit="1" customWidth="1"/>
    <col min="121" max="121" width="6.7109375" style="1" bestFit="1" customWidth="1"/>
    <col min="122" max="122" width="2.7109375" style="1" bestFit="1" customWidth="1"/>
    <col min="123" max="123" width="12" style="1" bestFit="1" customWidth="1"/>
    <col min="124" max="124" width="12.140625" style="1" bestFit="1" customWidth="1"/>
    <col min="125" max="125" width="6.85546875" style="1" bestFit="1" customWidth="1"/>
    <col min="126" max="126" width="12" style="1" bestFit="1" customWidth="1"/>
    <col min="127" max="127" width="6.7109375" style="1" bestFit="1" customWidth="1"/>
    <col min="128" max="128" width="12" style="1" bestFit="1" customWidth="1"/>
    <col min="129" max="129" width="6.7109375" style="1" bestFit="1" customWidth="1"/>
    <col min="130" max="130" width="12" style="1" bestFit="1" customWidth="1"/>
    <col min="131" max="131" width="6.7109375" style="1" bestFit="1" customWidth="1"/>
    <col min="132" max="132" width="2.7109375" style="1" bestFit="1" customWidth="1"/>
    <col min="133" max="133" width="12" style="1" bestFit="1" customWidth="1"/>
    <col min="134" max="134" width="12.140625" style="1" bestFit="1" customWidth="1"/>
    <col min="135" max="135" width="6.85546875" style="1" bestFit="1" customWidth="1"/>
    <col min="136" max="136" width="2.140625" style="1" bestFit="1" customWidth="1"/>
    <col min="137" max="137" width="12" style="1" bestFit="1" customWidth="1"/>
    <col min="138" max="138" width="6.7109375" style="1" bestFit="1" customWidth="1"/>
    <col min="139" max="139" width="2.28515625" style="1" bestFit="1" customWidth="1"/>
    <col min="140" max="140" width="12" style="1" bestFit="1" customWidth="1"/>
    <col min="141" max="141" width="6.7109375" style="1" bestFit="1" customWidth="1"/>
    <col min="142" max="142" width="12" style="1" bestFit="1" customWidth="1"/>
    <col min="143" max="143" width="6.7109375" style="1" bestFit="1" customWidth="1"/>
    <col min="144" max="144" width="12" style="1" bestFit="1" customWidth="1"/>
    <col min="145" max="145" width="12.140625" style="1" bestFit="1" customWidth="1"/>
    <col min="146" max="146" width="6.85546875" style="1" bestFit="1" customWidth="1"/>
    <col min="147" max="147" width="2.7109375" style="1" bestFit="1" customWidth="1"/>
    <col min="148" max="148" width="12" style="1" bestFit="1" customWidth="1"/>
    <col min="149" max="149" width="6.7109375" style="1" bestFit="1" customWidth="1"/>
    <col min="150" max="150" width="12" style="1" bestFit="1" customWidth="1"/>
    <col min="151" max="151" width="6.7109375" style="1" bestFit="1" customWidth="1"/>
    <col min="152" max="152" width="2.7109375" style="1" bestFit="1" customWidth="1"/>
    <col min="153" max="153" width="3.28515625" style="1" bestFit="1" customWidth="1"/>
    <col min="154" max="154" width="12" style="1" bestFit="1" customWidth="1"/>
    <col min="155" max="155" width="12.140625" style="1" bestFit="1" customWidth="1"/>
    <col min="156" max="156" width="6.85546875" style="1" bestFit="1" customWidth="1"/>
    <col min="157" max="157" width="12" style="1" bestFit="1" customWidth="1"/>
    <col min="158" max="158" width="6.7109375" style="1" bestFit="1" customWidth="1"/>
    <col min="159" max="159" width="2.28515625" style="1" bestFit="1" customWidth="1"/>
    <col min="160" max="160" width="12" style="1" bestFit="1" customWidth="1"/>
    <col min="161" max="161" width="6.7109375" style="1" bestFit="1" customWidth="1"/>
    <col min="162" max="162" width="2.7109375" style="1" bestFit="1" customWidth="1"/>
    <col min="163" max="163" width="12" style="1" bestFit="1" customWidth="1"/>
    <col min="164" max="164" width="6.7109375" style="1" bestFit="1" customWidth="1"/>
    <col min="165" max="165" width="12" style="1" bestFit="1" customWidth="1"/>
    <col min="166" max="166" width="12.140625" style="1" bestFit="1" customWidth="1"/>
    <col min="167" max="167" width="6.85546875" style="1" bestFit="1" customWidth="1"/>
    <col min="168" max="168" width="2.7109375" style="1" bestFit="1" customWidth="1"/>
    <col min="169" max="169" width="12" style="1" bestFit="1" customWidth="1"/>
    <col min="170" max="170" width="6.7109375" style="1" bestFit="1" customWidth="1"/>
    <col min="171" max="171" width="2.28515625" style="1" bestFit="1" customWidth="1"/>
    <col min="172" max="172" width="2.85546875" style="1" bestFit="1" customWidth="1"/>
    <col min="173" max="173" width="12" style="1" bestFit="1" customWidth="1"/>
    <col min="174" max="174" width="6.7109375" style="1" bestFit="1" customWidth="1"/>
    <col min="175" max="175" width="12" style="1" bestFit="1" customWidth="1"/>
    <col min="176" max="176" width="6.7109375" style="1" bestFit="1" customWidth="1"/>
    <col min="177" max="177" width="12" style="1" bestFit="1" customWidth="1"/>
    <col min="178" max="178" width="12.140625" style="1" bestFit="1" customWidth="1"/>
    <col min="179" max="179" width="6.85546875" style="1" bestFit="1" customWidth="1"/>
    <col min="180" max="180" width="12" style="1" bestFit="1" customWidth="1"/>
    <col min="181" max="181" width="12.140625" style="1" bestFit="1" customWidth="1"/>
    <col min="182" max="182" width="6.85546875" style="1" bestFit="1" customWidth="1"/>
    <col min="183" max="183" width="12" style="1" bestFit="1" customWidth="1"/>
    <col min="184" max="184" width="12.140625" style="1" bestFit="1" customWidth="1"/>
    <col min="185" max="185" width="10" style="1" bestFit="1" customWidth="1"/>
    <col min="186" max="186" width="6.85546875" style="1" bestFit="1" customWidth="1"/>
    <col min="187" max="187" width="12" style="1" bestFit="1" customWidth="1"/>
    <col min="188" max="188" width="12.140625" style="1" bestFit="1" customWidth="1"/>
    <col min="189" max="189" width="6.85546875" style="1" bestFit="1" customWidth="1"/>
    <col min="190" max="190" width="12" style="1" bestFit="1" customWidth="1"/>
    <col min="191" max="191" width="12.140625" style="1" bestFit="1" customWidth="1"/>
    <col min="192" max="192" width="6.85546875" style="1" bestFit="1" customWidth="1"/>
    <col min="193" max="193" width="12" style="1" bestFit="1" customWidth="1"/>
    <col min="194" max="194" width="12.140625" style="1" bestFit="1" customWidth="1"/>
    <col min="195" max="195" width="6.85546875" style="1" bestFit="1" customWidth="1"/>
    <col min="196" max="196" width="12" style="1" bestFit="1" customWidth="1"/>
    <col min="197" max="197" width="12.140625" style="1" bestFit="1" customWidth="1"/>
    <col min="198" max="198" width="6.85546875" style="1" bestFit="1" customWidth="1"/>
    <col min="199" max="199" width="12" style="1" bestFit="1" customWidth="1"/>
    <col min="200" max="200" width="12.140625" style="1" bestFit="1" customWidth="1"/>
    <col min="201" max="201" width="6.85546875" style="1" bestFit="1" customWidth="1"/>
    <col min="202" max="202" width="2.7109375" style="1" bestFit="1" customWidth="1"/>
    <col min="203" max="203" width="12" style="1" bestFit="1" customWidth="1"/>
    <col min="204" max="204" width="6.7109375" style="1" bestFit="1" customWidth="1"/>
    <col min="205" max="205" width="12" style="1" bestFit="1" customWidth="1"/>
    <col min="206" max="206" width="6.7109375" style="1" bestFit="1" customWidth="1"/>
    <col min="207" max="207" width="12" style="1" bestFit="1" customWidth="1"/>
    <col min="208" max="208" width="12.140625" style="1" bestFit="1" customWidth="1"/>
    <col min="209" max="209" width="6.85546875" style="1" bestFit="1" customWidth="1"/>
    <col min="210" max="210" width="12" style="1" bestFit="1" customWidth="1"/>
    <col min="211" max="211" width="6.7109375" style="1" bestFit="1" customWidth="1"/>
    <col min="212" max="212" width="12" style="1" bestFit="1" customWidth="1"/>
    <col min="213" max="213" width="6.7109375" style="1" bestFit="1" customWidth="1"/>
    <col min="214" max="214" width="12" style="1" bestFit="1" customWidth="1"/>
    <col min="215" max="215" width="12.140625" style="1" bestFit="1" customWidth="1"/>
    <col min="216" max="216" width="6.85546875" style="1" bestFit="1" customWidth="1"/>
    <col min="217" max="217" width="12" style="1" bestFit="1" customWidth="1"/>
    <col min="218" max="218" width="6.7109375" style="1" bestFit="1" customWidth="1"/>
    <col min="219" max="219" width="12" style="1" bestFit="1" customWidth="1"/>
    <col min="220" max="220" width="12.140625" style="1" bestFit="1" customWidth="1"/>
    <col min="221" max="221" width="9.140625" style="1"/>
    <col min="222" max="222" width="11.140625" style="1" bestFit="1" customWidth="1"/>
    <col min="223" max="223" width="11" style="1" bestFit="1" customWidth="1"/>
    <col min="224" max="224" width="12" style="1" bestFit="1" customWidth="1"/>
    <col min="225" max="225" width="12.140625" style="1" bestFit="1" customWidth="1"/>
    <col min="226" max="226" width="9.140625" style="1"/>
    <col min="227" max="227" width="6.85546875" style="1" bestFit="1" customWidth="1"/>
    <col min="228" max="228" width="12" style="1" bestFit="1" customWidth="1"/>
    <col min="229" max="229" width="12.140625" style="1" bestFit="1" customWidth="1"/>
    <col min="230" max="230" width="6.85546875" style="1" bestFit="1" customWidth="1"/>
    <col min="231" max="231" width="12" style="1" bestFit="1" customWidth="1"/>
    <col min="232" max="232" width="12.140625" style="1" bestFit="1" customWidth="1"/>
    <col min="233" max="233" width="6.85546875" style="1" bestFit="1" customWidth="1"/>
    <col min="234" max="234" width="12" style="1" bestFit="1" customWidth="1"/>
    <col min="235" max="235" width="6.7109375" style="1" bestFit="1" customWidth="1"/>
    <col min="236" max="236" width="12" style="1" bestFit="1" customWidth="1"/>
    <col min="237" max="237" width="6.7109375" style="1" bestFit="1" customWidth="1"/>
    <col min="238" max="238" width="12" style="1" bestFit="1" customWidth="1"/>
    <col min="239" max="239" width="12.140625" style="1" bestFit="1" customWidth="1"/>
    <col min="240" max="240" width="6.85546875" style="1" bestFit="1" customWidth="1"/>
    <col min="241" max="241" width="12" style="1" bestFit="1" customWidth="1"/>
    <col min="242" max="242" width="12.140625" style="1" bestFit="1" customWidth="1"/>
    <col min="243" max="243" width="6.85546875" style="1" bestFit="1" customWidth="1"/>
    <col min="244" max="244" width="12" style="1" bestFit="1" customWidth="1"/>
    <col min="245" max="245" width="12.140625" style="1" bestFit="1" customWidth="1"/>
    <col min="246" max="246" width="6.85546875" style="1" bestFit="1" customWidth="1"/>
    <col min="247" max="247" width="2.28515625" style="1" bestFit="1" customWidth="1"/>
    <col min="248" max="248" width="12" style="1" bestFit="1" customWidth="1"/>
    <col min="249" max="249" width="12.140625" style="1" bestFit="1" customWidth="1"/>
    <col min="250" max="250" width="6.85546875" style="1" bestFit="1" customWidth="1"/>
    <col min="251" max="251" width="12" style="1" bestFit="1" customWidth="1"/>
    <col min="252" max="252" width="12.140625" style="1" bestFit="1" customWidth="1"/>
    <col min="253" max="253" width="10" style="1" bestFit="1" customWidth="1"/>
    <col min="254" max="254" width="6.85546875" style="1" bestFit="1" customWidth="1"/>
    <col min="255" max="255" width="12" style="1" bestFit="1" customWidth="1"/>
    <col min="256" max="256" width="12.140625" style="1" bestFit="1" customWidth="1"/>
    <col min="257" max="257" width="6.85546875" style="1" bestFit="1" customWidth="1"/>
    <col min="258" max="258" width="12" style="1" bestFit="1" customWidth="1"/>
    <col min="259" max="259" width="12.140625" style="1" bestFit="1" customWidth="1"/>
    <col min="260" max="260" width="9.140625" style="1"/>
    <col min="261" max="261" width="16.42578125" style="1" bestFit="1" customWidth="1"/>
    <col min="262" max="262" width="14.42578125" style="1" bestFit="1" customWidth="1"/>
    <col min="263" max="16384" width="9.140625" style="1"/>
  </cols>
  <sheetData>
    <row r="1" spans="1:1" ht="21.75" customHeight="1" x14ac:dyDescent="0.25"/>
    <row r="2" spans="1:1" ht="21.75" customHeight="1" x14ac:dyDescent="0.25"/>
    <row r="3" spans="1:1" x14ac:dyDescent="0.25">
      <c r="A3" s="1" t="s">
        <v>492</v>
      </c>
    </row>
    <row r="39" spans="1:3" x14ac:dyDescent="0.25">
      <c r="A39" s="64" t="s">
        <v>442</v>
      </c>
      <c r="B39" s="1" t="s">
        <v>444</v>
      </c>
      <c r="C39" s="1" t="s">
        <v>443</v>
      </c>
    </row>
    <row r="40" spans="1:3" x14ac:dyDescent="0.25">
      <c r="A40" s="65" t="s">
        <v>27</v>
      </c>
      <c r="B40" s="66">
        <v>2</v>
      </c>
      <c r="C40" s="23">
        <v>42312.5</v>
      </c>
    </row>
    <row r="41" spans="1:3" x14ac:dyDescent="0.25">
      <c r="A41" s="67" t="s">
        <v>15</v>
      </c>
      <c r="B41" s="66">
        <v>2</v>
      </c>
      <c r="C41" s="23">
        <v>42312.5</v>
      </c>
    </row>
    <row r="42" spans="1:3" x14ac:dyDescent="0.25">
      <c r="A42" s="65" t="s">
        <v>274</v>
      </c>
      <c r="B42" s="66">
        <v>10</v>
      </c>
      <c r="C42" s="23">
        <v>41868.699999999997</v>
      </c>
    </row>
    <row r="43" spans="1:3" x14ac:dyDescent="0.25">
      <c r="A43" s="67" t="s">
        <v>15</v>
      </c>
      <c r="B43" s="66">
        <v>9</v>
      </c>
      <c r="C43" s="23">
        <v>41774.444444444445</v>
      </c>
    </row>
    <row r="44" spans="1:3" x14ac:dyDescent="0.25">
      <c r="A44" s="67" t="s">
        <v>17</v>
      </c>
      <c r="B44" s="66">
        <v>1</v>
      </c>
      <c r="C44" s="23">
        <v>42717</v>
      </c>
    </row>
    <row r="45" spans="1:3" x14ac:dyDescent="0.25">
      <c r="A45" s="65" t="s">
        <v>333</v>
      </c>
      <c r="B45" s="66">
        <v>10</v>
      </c>
      <c r="C45" s="23">
        <v>42378.5</v>
      </c>
    </row>
    <row r="46" spans="1:3" x14ac:dyDescent="0.25">
      <c r="A46" s="67" t="s">
        <v>15</v>
      </c>
      <c r="B46" s="66">
        <v>10</v>
      </c>
      <c r="C46" s="23">
        <v>42378.5</v>
      </c>
    </row>
    <row r="47" spans="1:3" x14ac:dyDescent="0.25">
      <c r="A47" s="65" t="s">
        <v>68</v>
      </c>
      <c r="B47" s="66">
        <v>111</v>
      </c>
      <c r="C47" s="23">
        <v>41551.063063063062</v>
      </c>
    </row>
    <row r="48" spans="1:3" x14ac:dyDescent="0.25">
      <c r="A48" s="67" t="s">
        <v>15</v>
      </c>
      <c r="B48" s="66">
        <v>100</v>
      </c>
      <c r="C48" s="23">
        <v>41531.07</v>
      </c>
    </row>
    <row r="49" spans="1:3" x14ac:dyDescent="0.25">
      <c r="A49" s="67" t="s">
        <v>17</v>
      </c>
      <c r="B49" s="66">
        <v>11</v>
      </c>
      <c r="C49" s="23">
        <v>41732.818181818184</v>
      </c>
    </row>
    <row r="50" spans="1:3" x14ac:dyDescent="0.25">
      <c r="A50" s="65" t="s">
        <v>331</v>
      </c>
      <c r="B50" s="66">
        <v>20</v>
      </c>
      <c r="C50" s="23">
        <v>42064.4</v>
      </c>
    </row>
    <row r="51" spans="1:3" x14ac:dyDescent="0.25">
      <c r="A51" s="67" t="s">
        <v>15</v>
      </c>
      <c r="B51" s="66">
        <v>18</v>
      </c>
      <c r="C51" s="23">
        <v>42062.333333333336</v>
      </c>
    </row>
    <row r="52" spans="1:3" x14ac:dyDescent="0.25">
      <c r="A52" s="67" t="s">
        <v>17</v>
      </c>
      <c r="B52" s="66">
        <v>2</v>
      </c>
      <c r="C52" s="23">
        <v>42083</v>
      </c>
    </row>
    <row r="53" spans="1:3" x14ac:dyDescent="0.25">
      <c r="A53" s="65" t="s">
        <v>434</v>
      </c>
      <c r="B53" s="66">
        <v>153</v>
      </c>
      <c r="C53" s="23">
        <v>41702.960784313727</v>
      </c>
    </row>
  </sheetData>
  <sheetProtection algorithmName="SHA-512" hashValue="0k0gWVRyfnBe6J83w37g/KbGopkiimpPNQ7jbKPFhpaM42MBouvo6sPn/7zYqmedtvxVYh+8Ds9ky8V23BtwUA==" saltValue="dlkPNmKF1c73Kf7IuA8kGA==" spinCount="100000" sheet="1" scenarios="1" sort="0" autoFilter="0" pivotTables="0"/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ECD52-C745-49E3-9271-1B062C5110DE}">
  <sheetPr codeName="List6"/>
  <dimension ref="A1:D54"/>
  <sheetViews>
    <sheetView workbookViewId="0">
      <selection activeCell="A14" sqref="A14"/>
    </sheetView>
  </sheetViews>
  <sheetFormatPr defaultRowHeight="15" x14ac:dyDescent="0.25"/>
  <cols>
    <col min="1" max="1" width="15.7109375" style="1" bestFit="1" customWidth="1"/>
    <col min="2" max="2" width="26.140625" style="1" bestFit="1" customWidth="1"/>
    <col min="3" max="3" width="26" style="1" bestFit="1" customWidth="1"/>
    <col min="4" max="4" width="27" style="1" bestFit="1" customWidth="1"/>
    <col min="5" max="5" width="20.140625" style="1" bestFit="1" customWidth="1"/>
    <col min="6" max="6" width="20" style="1" bestFit="1" customWidth="1"/>
    <col min="7" max="7" width="21" style="1" bestFit="1" customWidth="1"/>
    <col min="8" max="8" width="16" style="1" bestFit="1" customWidth="1"/>
    <col min="9" max="9" width="18.5703125" style="1" bestFit="1" customWidth="1"/>
    <col min="10" max="123" width="10.140625" style="1" bestFit="1" customWidth="1"/>
    <col min="124" max="124" width="14.42578125" style="1" bestFit="1" customWidth="1"/>
    <col min="125" max="16384" width="9.140625" style="1"/>
  </cols>
  <sheetData>
    <row r="1" spans="1:1" ht="21.75" customHeight="1" x14ac:dyDescent="0.25"/>
    <row r="2" spans="1:1" ht="21.75" customHeight="1" x14ac:dyDescent="0.25"/>
    <row r="3" spans="1:1" x14ac:dyDescent="0.25">
      <c r="A3" s="1" t="s">
        <v>491</v>
      </c>
    </row>
    <row r="33" spans="1:4" x14ac:dyDescent="0.25">
      <c r="A33" s="64" t="s">
        <v>69</v>
      </c>
      <c r="B33" s="1" t="s">
        <v>445</v>
      </c>
    </row>
    <row r="35" spans="1:4" x14ac:dyDescent="0.25">
      <c r="A35" s="64" t="s">
        <v>433</v>
      </c>
      <c r="B35" s="1" t="s">
        <v>496</v>
      </c>
      <c r="C35" s="1" t="s">
        <v>497</v>
      </c>
      <c r="D35" s="1" t="s">
        <v>498</v>
      </c>
    </row>
    <row r="36" spans="1:4" x14ac:dyDescent="0.25">
      <c r="A36" s="65" t="s">
        <v>471</v>
      </c>
      <c r="B36" s="66">
        <v>0</v>
      </c>
      <c r="C36" s="66">
        <v>1204</v>
      </c>
      <c r="D36" s="66">
        <v>0</v>
      </c>
    </row>
    <row r="37" spans="1:4" x14ac:dyDescent="0.25">
      <c r="A37" s="65" t="s">
        <v>480</v>
      </c>
      <c r="B37" s="66">
        <v>465</v>
      </c>
      <c r="C37" s="66">
        <v>0</v>
      </c>
      <c r="D37" s="66">
        <v>0</v>
      </c>
    </row>
    <row r="38" spans="1:4" x14ac:dyDescent="0.25">
      <c r="A38" s="65" t="s">
        <v>479</v>
      </c>
      <c r="B38" s="66">
        <v>416</v>
      </c>
      <c r="C38" s="66">
        <v>0</v>
      </c>
      <c r="D38" s="66">
        <v>0</v>
      </c>
    </row>
    <row r="39" spans="1:4" x14ac:dyDescent="0.25">
      <c r="A39" s="65" t="s">
        <v>473</v>
      </c>
      <c r="B39" s="66">
        <v>724</v>
      </c>
      <c r="C39" s="66">
        <v>1473</v>
      </c>
      <c r="D39" s="66">
        <v>0</v>
      </c>
    </row>
    <row r="40" spans="1:4" x14ac:dyDescent="0.25">
      <c r="A40" s="65" t="s">
        <v>476</v>
      </c>
      <c r="B40" s="66">
        <v>2794</v>
      </c>
      <c r="C40" s="66">
        <v>1673</v>
      </c>
      <c r="D40" s="66">
        <v>0</v>
      </c>
    </row>
    <row r="41" spans="1:4" x14ac:dyDescent="0.25">
      <c r="A41" s="65" t="s">
        <v>477</v>
      </c>
      <c r="B41" s="66">
        <v>0</v>
      </c>
      <c r="C41" s="66">
        <v>1452</v>
      </c>
      <c r="D41" s="66">
        <v>0</v>
      </c>
    </row>
    <row r="42" spans="1:4" x14ac:dyDescent="0.25">
      <c r="A42" s="65" t="s">
        <v>464</v>
      </c>
      <c r="B42" s="66">
        <v>4919</v>
      </c>
      <c r="C42" s="66">
        <v>8128</v>
      </c>
      <c r="D42" s="66">
        <v>3595</v>
      </c>
    </row>
    <row r="43" spans="1:4" x14ac:dyDescent="0.25">
      <c r="A43" s="65" t="s">
        <v>475</v>
      </c>
      <c r="B43" s="66">
        <v>895</v>
      </c>
      <c r="C43" s="66">
        <v>1142</v>
      </c>
      <c r="D43" s="66">
        <v>0</v>
      </c>
    </row>
    <row r="44" spans="1:4" x14ac:dyDescent="0.25">
      <c r="A44" s="65" t="s">
        <v>465</v>
      </c>
      <c r="B44" s="66">
        <v>6579</v>
      </c>
      <c r="C44" s="66">
        <v>5002</v>
      </c>
      <c r="D44" s="66">
        <v>0</v>
      </c>
    </row>
    <row r="45" spans="1:4" x14ac:dyDescent="0.25">
      <c r="A45" s="65" t="s">
        <v>478</v>
      </c>
      <c r="B45" s="66">
        <v>3837</v>
      </c>
      <c r="C45" s="66">
        <v>3911</v>
      </c>
      <c r="D45" s="66">
        <v>1859</v>
      </c>
    </row>
    <row r="46" spans="1:4" x14ac:dyDescent="0.25">
      <c r="A46" s="65" t="s">
        <v>469</v>
      </c>
      <c r="B46" s="66">
        <v>13101</v>
      </c>
      <c r="C46" s="66">
        <v>10596</v>
      </c>
      <c r="D46" s="66">
        <v>2354</v>
      </c>
    </row>
    <row r="47" spans="1:4" x14ac:dyDescent="0.25">
      <c r="A47" s="65" t="s">
        <v>474</v>
      </c>
      <c r="B47" s="66">
        <v>9590</v>
      </c>
      <c r="C47" s="66">
        <v>8253</v>
      </c>
      <c r="D47" s="66">
        <v>3118</v>
      </c>
    </row>
    <row r="48" spans="1:4" x14ac:dyDescent="0.25">
      <c r="A48" s="65" t="s">
        <v>466</v>
      </c>
      <c r="B48" s="66">
        <v>18254</v>
      </c>
      <c r="C48" s="66">
        <v>13990</v>
      </c>
      <c r="D48" s="66">
        <v>13544</v>
      </c>
    </row>
    <row r="49" spans="1:4" x14ac:dyDescent="0.25">
      <c r="A49" s="65" t="s">
        <v>463</v>
      </c>
      <c r="B49" s="66">
        <v>17422</v>
      </c>
      <c r="C49" s="66">
        <v>16135</v>
      </c>
      <c r="D49" s="66">
        <v>10432</v>
      </c>
    </row>
    <row r="50" spans="1:4" x14ac:dyDescent="0.25">
      <c r="A50" s="65" t="s">
        <v>470</v>
      </c>
      <c r="B50" s="66">
        <v>14595</v>
      </c>
      <c r="C50" s="66">
        <v>11707</v>
      </c>
      <c r="D50" s="66">
        <v>17880</v>
      </c>
    </row>
    <row r="51" spans="1:4" x14ac:dyDescent="0.25">
      <c r="A51" s="65" t="s">
        <v>472</v>
      </c>
      <c r="B51" s="66">
        <v>14414</v>
      </c>
      <c r="C51" s="66">
        <v>17581</v>
      </c>
      <c r="D51" s="66">
        <v>12288</v>
      </c>
    </row>
    <row r="52" spans="1:4" x14ac:dyDescent="0.25">
      <c r="A52" s="65" t="s">
        <v>468</v>
      </c>
      <c r="B52" s="66">
        <v>18671</v>
      </c>
      <c r="C52" s="66">
        <v>17996</v>
      </c>
      <c r="D52" s="66">
        <v>22275</v>
      </c>
    </row>
    <row r="53" spans="1:4" x14ac:dyDescent="0.25">
      <c r="A53" s="65" t="s">
        <v>467</v>
      </c>
      <c r="B53" s="66">
        <v>15130</v>
      </c>
      <c r="C53" s="66">
        <v>8546</v>
      </c>
      <c r="D53" s="66">
        <v>11134</v>
      </c>
    </row>
    <row r="54" spans="1:4" x14ac:dyDescent="0.25">
      <c r="A54" s="65" t="s">
        <v>434</v>
      </c>
      <c r="B54" s="66">
        <v>141806</v>
      </c>
      <c r="C54" s="66">
        <v>128789</v>
      </c>
      <c r="D54" s="66">
        <v>98479</v>
      </c>
    </row>
  </sheetData>
  <sheetProtection algorithmName="SHA-512" hashValue="CYAs4S4LU0s4EVNTtLqyvsuMgimOz/9SJHqPSMSe5WBEqAjgHe9JGTwb6McRvpHdag1YzdsrQcXMYiJijDmBVQ==" saltValue="qh8oM73SbXxVYsp1HgxumQ==" spinCount="100000" sheet="1" scenarios="1" sort="0" autoFilter="0" pivotTables="0"/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93A9-E0B0-4E75-98FB-CB2CD4FE0537}">
  <sheetPr codeName="List8"/>
  <dimension ref="A1:D52"/>
  <sheetViews>
    <sheetView workbookViewId="0">
      <selection activeCell="C40" sqref="C40"/>
    </sheetView>
  </sheetViews>
  <sheetFormatPr defaultRowHeight="15" x14ac:dyDescent="0.25"/>
  <cols>
    <col min="1" max="1" width="15.28515625" style="1" bestFit="1" customWidth="1"/>
    <col min="2" max="2" width="20" style="1" bestFit="1" customWidth="1"/>
    <col min="3" max="3" width="20" style="1" customWidth="1"/>
    <col min="4" max="4" width="20" style="1" bestFit="1" customWidth="1"/>
    <col min="5" max="5" width="17" style="1" customWidth="1"/>
    <col min="6" max="6" width="18.28515625" style="1" customWidth="1"/>
    <col min="7" max="16384" width="9.140625" style="1"/>
  </cols>
  <sheetData>
    <row r="1" spans="1:1" ht="21.75" customHeight="1" x14ac:dyDescent="0.25"/>
    <row r="2" spans="1:1" ht="21.75" customHeight="1" x14ac:dyDescent="0.25"/>
    <row r="3" spans="1:1" x14ac:dyDescent="0.25">
      <c r="A3" s="1" t="s">
        <v>489</v>
      </c>
    </row>
    <row r="30" spans="1:2" x14ac:dyDescent="0.25">
      <c r="A30" s="64" t="s">
        <v>69</v>
      </c>
      <c r="B30" s="1" t="s">
        <v>445</v>
      </c>
    </row>
    <row r="31" spans="1:2" x14ac:dyDescent="0.25">
      <c r="A31" s="64" t="s">
        <v>481</v>
      </c>
      <c r="B31" s="1" t="s">
        <v>445</v>
      </c>
    </row>
    <row r="33" spans="1:4" ht="30" x14ac:dyDescent="0.25">
      <c r="A33" s="68" t="s">
        <v>486</v>
      </c>
      <c r="B33" s="69" t="s">
        <v>485</v>
      </c>
      <c r="C33" s="69" t="s">
        <v>487</v>
      </c>
      <c r="D33" s="69" t="s">
        <v>488</v>
      </c>
    </row>
    <row r="34" spans="1:4" x14ac:dyDescent="0.25">
      <c r="A34" s="65" t="s">
        <v>471</v>
      </c>
      <c r="B34" s="70"/>
      <c r="C34" s="70">
        <v>88</v>
      </c>
      <c r="D34" s="70"/>
    </row>
    <row r="35" spans="1:4" x14ac:dyDescent="0.25">
      <c r="A35" s="65" t="s">
        <v>480</v>
      </c>
      <c r="B35" s="70">
        <v>91</v>
      </c>
      <c r="C35" s="70"/>
      <c r="D35" s="70"/>
    </row>
    <row r="36" spans="1:4" x14ac:dyDescent="0.25">
      <c r="A36" s="65" t="s">
        <v>479</v>
      </c>
      <c r="B36" s="70">
        <v>91</v>
      </c>
      <c r="C36" s="70"/>
      <c r="D36" s="70"/>
    </row>
    <row r="37" spans="1:4" x14ac:dyDescent="0.25">
      <c r="A37" s="65" t="s">
        <v>473</v>
      </c>
      <c r="B37" s="70">
        <v>90</v>
      </c>
      <c r="C37" s="70">
        <v>86</v>
      </c>
      <c r="D37" s="70"/>
    </row>
    <row r="38" spans="1:4" x14ac:dyDescent="0.25">
      <c r="A38" s="65" t="s">
        <v>476</v>
      </c>
      <c r="B38" s="70">
        <v>90</v>
      </c>
      <c r="C38" s="70">
        <v>92</v>
      </c>
      <c r="D38" s="70"/>
    </row>
    <row r="39" spans="1:4" x14ac:dyDescent="0.25">
      <c r="A39" s="65" t="s">
        <v>477</v>
      </c>
      <c r="B39" s="70"/>
      <c r="C39" s="70">
        <v>90</v>
      </c>
      <c r="D39" s="70"/>
    </row>
    <row r="40" spans="1:4" x14ac:dyDescent="0.25">
      <c r="A40" s="65" t="s">
        <v>464</v>
      </c>
      <c r="B40" s="70">
        <v>89.2</v>
      </c>
      <c r="C40" s="70">
        <v>92</v>
      </c>
      <c r="D40" s="70">
        <v>90</v>
      </c>
    </row>
    <row r="41" spans="1:4" x14ac:dyDescent="0.25">
      <c r="A41" s="65" t="s">
        <v>475</v>
      </c>
      <c r="B41" s="70">
        <v>78</v>
      </c>
      <c r="C41" s="70">
        <v>45.44</v>
      </c>
      <c r="D41" s="70"/>
    </row>
    <row r="42" spans="1:4" x14ac:dyDescent="0.25">
      <c r="A42" s="65" t="s">
        <v>465</v>
      </c>
      <c r="B42" s="70">
        <v>91.5</v>
      </c>
      <c r="C42" s="70">
        <v>88</v>
      </c>
      <c r="D42" s="70"/>
    </row>
    <row r="43" spans="1:4" x14ac:dyDescent="0.25">
      <c r="A43" s="65" t="s">
        <v>478</v>
      </c>
      <c r="B43" s="70">
        <v>92</v>
      </c>
      <c r="C43" s="70">
        <v>89</v>
      </c>
      <c r="D43" s="70">
        <v>82.5</v>
      </c>
    </row>
    <row r="44" spans="1:4" x14ac:dyDescent="0.25">
      <c r="A44" s="65" t="s">
        <v>469</v>
      </c>
      <c r="B44" s="70">
        <v>88.333333333333329</v>
      </c>
      <c r="C44" s="70">
        <v>87.4</v>
      </c>
      <c r="D44" s="70">
        <v>94</v>
      </c>
    </row>
    <row r="45" spans="1:4" x14ac:dyDescent="0.25">
      <c r="A45" s="65" t="s">
        <v>474</v>
      </c>
      <c r="B45" s="70">
        <v>89.428571428571431</v>
      </c>
      <c r="C45" s="70">
        <v>86</v>
      </c>
      <c r="D45" s="70">
        <v>89.5</v>
      </c>
    </row>
    <row r="46" spans="1:4" x14ac:dyDescent="0.25">
      <c r="A46" s="65" t="s">
        <v>466</v>
      </c>
      <c r="B46" s="70">
        <v>88.1875</v>
      </c>
      <c r="C46" s="70">
        <v>85.857142857142861</v>
      </c>
      <c r="D46" s="70">
        <v>91.428571428571431</v>
      </c>
    </row>
    <row r="47" spans="1:4" x14ac:dyDescent="0.25">
      <c r="A47" s="65" t="s">
        <v>463</v>
      </c>
      <c r="B47" s="70">
        <v>86.142857142857139</v>
      </c>
      <c r="C47" s="70">
        <v>86.428571428571431</v>
      </c>
      <c r="D47" s="70">
        <v>89.916666666666671</v>
      </c>
    </row>
    <row r="48" spans="1:4" x14ac:dyDescent="0.25">
      <c r="A48" s="65" t="s">
        <v>470</v>
      </c>
      <c r="B48" s="70">
        <v>88.166666666666671</v>
      </c>
      <c r="C48" s="70">
        <v>87.333333333333329</v>
      </c>
      <c r="D48" s="70">
        <v>90.615384615384613</v>
      </c>
    </row>
    <row r="49" spans="1:4" x14ac:dyDescent="0.25">
      <c r="A49" s="65" t="s">
        <v>472</v>
      </c>
      <c r="B49" s="70">
        <v>83.470588235294116</v>
      </c>
      <c r="C49" s="70">
        <v>83.375</v>
      </c>
      <c r="D49" s="70">
        <v>91.416666666666671</v>
      </c>
    </row>
    <row r="50" spans="1:4" x14ac:dyDescent="0.25">
      <c r="A50" s="65" t="s">
        <v>468</v>
      </c>
      <c r="B50" s="70">
        <v>85.666666666666671</v>
      </c>
      <c r="C50" s="70">
        <v>87.294117647058826</v>
      </c>
      <c r="D50" s="70">
        <v>91.444444444444443</v>
      </c>
    </row>
    <row r="51" spans="1:4" x14ac:dyDescent="0.25">
      <c r="A51" s="65" t="s">
        <v>467</v>
      </c>
      <c r="B51" s="70">
        <v>79.769230769230774</v>
      </c>
      <c r="C51" s="70">
        <v>83.5</v>
      </c>
      <c r="D51" s="70">
        <v>87</v>
      </c>
    </row>
    <row r="52" spans="1:4" x14ac:dyDescent="0.25">
      <c r="A52" s="65" t="s">
        <v>434</v>
      </c>
      <c r="B52" s="70">
        <v>86.432000000000002</v>
      </c>
      <c r="C52" s="70">
        <v>85.795772357723592</v>
      </c>
      <c r="D52" s="70">
        <v>90.277777777777771</v>
      </c>
    </row>
  </sheetData>
  <sheetProtection algorithmName="SHA-512" hashValue="SrpdfzUxoCeoYd0+r3qSh3cnl3E6vn8yYFdzrDSySkGZ4Z3ylgbMfIFUYdPyJexGEds6p/1gpscPvz/byi4B4Q==" saltValue="FyPNehGFmYpNA+PRL5LIgg==" spinCount="100000" sheet="1" scenarios="1" sort="0" autoFilter="0" pivotTables="0"/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0C86-A490-49F4-A1A7-86C35941839B}">
  <sheetPr codeName="List9"/>
  <dimension ref="A1:G235"/>
  <sheetViews>
    <sheetView workbookViewId="0">
      <selection activeCell="A13" sqref="A13"/>
    </sheetView>
  </sheetViews>
  <sheetFormatPr defaultRowHeight="15" x14ac:dyDescent="0.25"/>
  <cols>
    <col min="1" max="1" width="40.5703125" bestFit="1" customWidth="1"/>
    <col min="2" max="2" width="20.140625" bestFit="1" customWidth="1"/>
    <col min="3" max="3" width="20" bestFit="1" customWidth="1"/>
    <col min="4" max="4" width="21" bestFit="1" customWidth="1"/>
    <col min="5" max="7" width="28.85546875" bestFit="1" customWidth="1"/>
  </cols>
  <sheetData>
    <row r="1" spans="1:1" ht="21.75" customHeight="1" x14ac:dyDescent="0.25"/>
    <row r="2" spans="1:1" ht="21.75" customHeight="1" x14ac:dyDescent="0.25"/>
    <row r="3" spans="1:1" x14ac:dyDescent="0.25">
      <c r="A3" t="s">
        <v>499</v>
      </c>
    </row>
    <row r="17" spans="1:7" x14ac:dyDescent="0.25">
      <c r="A17" s="82" t="s">
        <v>69</v>
      </c>
      <c r="B17" t="s">
        <v>445</v>
      </c>
    </row>
    <row r="19" spans="1:7" ht="30" x14ac:dyDescent="0.25">
      <c r="A19" s="90" t="s">
        <v>486</v>
      </c>
      <c r="B19" s="91" t="s">
        <v>500</v>
      </c>
      <c r="C19" s="91" t="s">
        <v>501</v>
      </c>
      <c r="D19" s="91" t="s">
        <v>502</v>
      </c>
      <c r="E19" s="92" t="s">
        <v>503</v>
      </c>
      <c r="F19" s="92" t="s">
        <v>504</v>
      </c>
      <c r="G19" s="92" t="s">
        <v>505</v>
      </c>
    </row>
    <row r="20" spans="1:7" x14ac:dyDescent="0.25">
      <c r="A20" s="86" t="s">
        <v>15</v>
      </c>
      <c r="B20" s="84">
        <v>2737866</v>
      </c>
      <c r="C20" s="84">
        <v>110063</v>
      </c>
      <c r="D20" s="84">
        <v>797709</v>
      </c>
      <c r="E20" s="85">
        <v>86.684210526315795</v>
      </c>
      <c r="F20" s="85">
        <v>85.641100917431203</v>
      </c>
      <c r="G20" s="85">
        <v>90</v>
      </c>
    </row>
    <row r="21" spans="1:7" x14ac:dyDescent="0.25">
      <c r="A21" s="87" t="s">
        <v>210</v>
      </c>
      <c r="B21" s="84">
        <v>58776</v>
      </c>
      <c r="C21" s="84">
        <v>266</v>
      </c>
      <c r="D21" s="84">
        <v>10974</v>
      </c>
      <c r="E21" s="85">
        <v>91</v>
      </c>
      <c r="F21" s="85">
        <v>86</v>
      </c>
      <c r="G21" s="85">
        <v>90</v>
      </c>
    </row>
    <row r="22" spans="1:7" x14ac:dyDescent="0.25">
      <c r="A22" s="88" t="s">
        <v>286</v>
      </c>
      <c r="B22" s="84">
        <v>17775</v>
      </c>
      <c r="C22" s="84">
        <v>0</v>
      </c>
      <c r="D22" s="84">
        <v>0</v>
      </c>
      <c r="E22" s="85">
        <v>87</v>
      </c>
      <c r="F22" s="85">
        <v>0</v>
      </c>
      <c r="G22" s="85">
        <v>0</v>
      </c>
    </row>
    <row r="23" spans="1:7" x14ac:dyDescent="0.25">
      <c r="A23" s="88" t="s">
        <v>209</v>
      </c>
      <c r="B23" s="84">
        <v>41001</v>
      </c>
      <c r="C23" s="84">
        <v>266</v>
      </c>
      <c r="D23" s="84">
        <v>10974</v>
      </c>
      <c r="E23" s="85">
        <v>95</v>
      </c>
      <c r="F23" s="85">
        <v>86</v>
      </c>
      <c r="G23" s="85">
        <v>90</v>
      </c>
    </row>
    <row r="24" spans="1:7" x14ac:dyDescent="0.25">
      <c r="A24" s="87" t="s">
        <v>22</v>
      </c>
      <c r="B24" s="84">
        <v>194566</v>
      </c>
      <c r="C24" s="84">
        <v>1736</v>
      </c>
      <c r="D24" s="84">
        <v>11011</v>
      </c>
      <c r="E24" s="85">
        <v>94.2</v>
      </c>
      <c r="F24" s="85">
        <v>94</v>
      </c>
      <c r="G24" s="85">
        <v>90</v>
      </c>
    </row>
    <row r="25" spans="1:7" x14ac:dyDescent="0.25">
      <c r="A25" s="88" t="s">
        <v>20</v>
      </c>
      <c r="B25" s="84">
        <v>15281</v>
      </c>
      <c r="C25" s="84">
        <v>227</v>
      </c>
      <c r="D25" s="84">
        <v>1480</v>
      </c>
      <c r="E25" s="85">
        <v>94</v>
      </c>
      <c r="F25" s="85">
        <v>96</v>
      </c>
      <c r="G25" s="85">
        <v>90</v>
      </c>
    </row>
    <row r="26" spans="1:7" x14ac:dyDescent="0.25">
      <c r="A26" s="88" t="s">
        <v>38</v>
      </c>
      <c r="B26" s="84">
        <v>56095</v>
      </c>
      <c r="C26" s="84">
        <v>554</v>
      </c>
      <c r="D26" s="84">
        <v>9531</v>
      </c>
      <c r="E26" s="85">
        <v>95</v>
      </c>
      <c r="F26" s="85">
        <v>96</v>
      </c>
      <c r="G26" s="85">
        <v>90</v>
      </c>
    </row>
    <row r="27" spans="1:7" x14ac:dyDescent="0.25">
      <c r="A27" s="88" t="s">
        <v>327</v>
      </c>
      <c r="B27" s="84">
        <v>89865</v>
      </c>
      <c r="C27" s="84">
        <v>645</v>
      </c>
      <c r="D27" s="84">
        <v>0</v>
      </c>
      <c r="E27" s="85">
        <v>96</v>
      </c>
      <c r="F27" s="85">
        <v>88</v>
      </c>
      <c r="G27" s="85">
        <v>0</v>
      </c>
    </row>
    <row r="28" spans="1:7" x14ac:dyDescent="0.25">
      <c r="A28" s="88" t="s">
        <v>162</v>
      </c>
      <c r="B28" s="84">
        <v>16061</v>
      </c>
      <c r="C28" s="84">
        <v>204</v>
      </c>
      <c r="D28" s="84">
        <v>0</v>
      </c>
      <c r="E28" s="85">
        <v>93</v>
      </c>
      <c r="F28" s="85">
        <v>96</v>
      </c>
      <c r="G28" s="85">
        <v>0</v>
      </c>
    </row>
    <row r="29" spans="1:7" x14ac:dyDescent="0.25">
      <c r="A29" s="88" t="s">
        <v>127</v>
      </c>
      <c r="B29" s="84">
        <v>17264</v>
      </c>
      <c r="C29" s="84">
        <v>106</v>
      </c>
      <c r="D29" s="84">
        <v>0</v>
      </c>
      <c r="E29" s="85">
        <v>93</v>
      </c>
      <c r="F29" s="85">
        <v>94</v>
      </c>
      <c r="G29" s="85">
        <v>0</v>
      </c>
    </row>
    <row r="30" spans="1:7" x14ac:dyDescent="0.25">
      <c r="A30" s="87" t="s">
        <v>242</v>
      </c>
      <c r="B30" s="84">
        <v>932</v>
      </c>
      <c r="C30" s="84">
        <v>0</v>
      </c>
      <c r="D30" s="84">
        <v>318</v>
      </c>
      <c r="E30" s="85">
        <v>91</v>
      </c>
      <c r="F30" s="85">
        <v>0</v>
      </c>
      <c r="G30" s="85">
        <v>88</v>
      </c>
    </row>
    <row r="31" spans="1:7" x14ac:dyDescent="0.25">
      <c r="A31" s="88" t="s">
        <v>240</v>
      </c>
      <c r="B31" s="84">
        <v>932</v>
      </c>
      <c r="C31" s="84">
        <v>0</v>
      </c>
      <c r="D31" s="84">
        <v>318</v>
      </c>
      <c r="E31" s="85">
        <v>91</v>
      </c>
      <c r="F31" s="85">
        <v>0</v>
      </c>
      <c r="G31" s="85">
        <v>88</v>
      </c>
    </row>
    <row r="32" spans="1:7" x14ac:dyDescent="0.25">
      <c r="A32" s="87" t="s">
        <v>307</v>
      </c>
      <c r="B32" s="84">
        <v>2763</v>
      </c>
      <c r="C32" s="84">
        <v>0</v>
      </c>
      <c r="D32" s="84">
        <v>0</v>
      </c>
      <c r="E32" s="85">
        <v>91</v>
      </c>
      <c r="F32" s="85">
        <v>0</v>
      </c>
      <c r="G32" s="85">
        <v>0</v>
      </c>
    </row>
    <row r="33" spans="1:7" x14ac:dyDescent="0.25">
      <c r="A33" s="89" t="s">
        <v>312</v>
      </c>
      <c r="B33" s="84">
        <v>2763</v>
      </c>
      <c r="C33" s="84">
        <v>0</v>
      </c>
      <c r="D33" s="84">
        <v>0</v>
      </c>
      <c r="E33" s="85">
        <v>91</v>
      </c>
      <c r="F33" s="85">
        <v>0</v>
      </c>
      <c r="G33" s="85">
        <v>0</v>
      </c>
    </row>
    <row r="34" spans="1:7" x14ac:dyDescent="0.25">
      <c r="A34" s="87" t="s">
        <v>224</v>
      </c>
      <c r="B34" s="84">
        <v>8413</v>
      </c>
      <c r="C34" s="84">
        <v>0</v>
      </c>
      <c r="D34" s="84">
        <v>0</v>
      </c>
      <c r="E34" s="85">
        <v>90</v>
      </c>
      <c r="F34" s="85">
        <v>0</v>
      </c>
      <c r="G34" s="85">
        <v>0</v>
      </c>
    </row>
    <row r="35" spans="1:7" x14ac:dyDescent="0.25">
      <c r="A35" s="88" t="s">
        <v>222</v>
      </c>
      <c r="B35" s="84">
        <v>8413</v>
      </c>
      <c r="C35" s="84">
        <v>0</v>
      </c>
      <c r="D35" s="84">
        <v>0</v>
      </c>
      <c r="E35" s="85">
        <v>90</v>
      </c>
      <c r="F35" s="85">
        <v>0</v>
      </c>
      <c r="G35" s="85">
        <v>0</v>
      </c>
    </row>
    <row r="36" spans="1:7" x14ac:dyDescent="0.25">
      <c r="A36" s="87" t="s">
        <v>319</v>
      </c>
      <c r="B36" s="84">
        <v>674</v>
      </c>
      <c r="C36" s="84">
        <v>0</v>
      </c>
      <c r="D36" s="84">
        <v>0</v>
      </c>
      <c r="E36" s="85">
        <v>86</v>
      </c>
      <c r="F36" s="85">
        <v>0</v>
      </c>
      <c r="G36" s="85">
        <v>0</v>
      </c>
    </row>
    <row r="37" spans="1:7" x14ac:dyDescent="0.25">
      <c r="A37" s="88" t="s">
        <v>318</v>
      </c>
      <c r="B37" s="84">
        <v>674</v>
      </c>
      <c r="C37" s="84">
        <v>0</v>
      </c>
      <c r="D37" s="84">
        <v>0</v>
      </c>
      <c r="E37" s="85">
        <v>86</v>
      </c>
      <c r="F37" s="85">
        <v>0</v>
      </c>
      <c r="G37" s="85">
        <v>0</v>
      </c>
    </row>
    <row r="38" spans="1:7" x14ac:dyDescent="0.25">
      <c r="A38" s="87" t="s">
        <v>189</v>
      </c>
      <c r="B38" s="84">
        <v>8693</v>
      </c>
      <c r="C38" s="84">
        <v>221</v>
      </c>
      <c r="D38" s="84">
        <v>1808</v>
      </c>
      <c r="E38" s="85">
        <v>95</v>
      </c>
      <c r="F38" s="85">
        <v>94</v>
      </c>
      <c r="G38" s="85">
        <v>100</v>
      </c>
    </row>
    <row r="39" spans="1:7" x14ac:dyDescent="0.25">
      <c r="A39" s="88" t="s">
        <v>187</v>
      </c>
      <c r="B39" s="84">
        <v>8693</v>
      </c>
      <c r="C39" s="84">
        <v>221</v>
      </c>
      <c r="D39" s="84">
        <v>1808</v>
      </c>
      <c r="E39" s="85">
        <v>95</v>
      </c>
      <c r="F39" s="85">
        <v>94</v>
      </c>
      <c r="G39" s="85">
        <v>100</v>
      </c>
    </row>
    <row r="40" spans="1:7" x14ac:dyDescent="0.25">
      <c r="A40" s="87" t="s">
        <v>281</v>
      </c>
      <c r="B40" s="84">
        <v>1986</v>
      </c>
      <c r="C40" s="84">
        <v>183</v>
      </c>
      <c r="D40" s="84">
        <v>593</v>
      </c>
      <c r="E40" s="85">
        <v>82</v>
      </c>
      <c r="F40" s="85">
        <v>76</v>
      </c>
      <c r="G40" s="85">
        <v>90</v>
      </c>
    </row>
    <row r="41" spans="1:7" x14ac:dyDescent="0.25">
      <c r="A41" s="88" t="s">
        <v>279</v>
      </c>
      <c r="B41" s="84">
        <v>1986</v>
      </c>
      <c r="C41" s="84">
        <v>183</v>
      </c>
      <c r="D41" s="84">
        <v>593</v>
      </c>
      <c r="E41" s="85">
        <v>82</v>
      </c>
      <c r="F41" s="85">
        <v>76</v>
      </c>
      <c r="G41" s="85">
        <v>90</v>
      </c>
    </row>
    <row r="42" spans="1:7" x14ac:dyDescent="0.25">
      <c r="A42" s="87" t="s">
        <v>360</v>
      </c>
      <c r="B42" s="84">
        <v>0</v>
      </c>
      <c r="C42" s="84">
        <v>0</v>
      </c>
      <c r="D42" s="84">
        <v>5079</v>
      </c>
      <c r="E42" s="85">
        <v>0</v>
      </c>
      <c r="F42" s="85">
        <v>0</v>
      </c>
      <c r="G42" s="85">
        <v>98</v>
      </c>
    </row>
    <row r="43" spans="1:7" x14ac:dyDescent="0.25">
      <c r="A43" s="88" t="s">
        <v>359</v>
      </c>
      <c r="B43" s="84">
        <v>0</v>
      </c>
      <c r="C43" s="84">
        <v>0</v>
      </c>
      <c r="D43" s="84">
        <v>5079</v>
      </c>
      <c r="E43" s="85">
        <v>0</v>
      </c>
      <c r="F43" s="85">
        <v>0</v>
      </c>
      <c r="G43" s="85">
        <v>98</v>
      </c>
    </row>
    <row r="44" spans="1:7" ht="15" customHeight="1" x14ac:dyDescent="0.25">
      <c r="A44" s="87" t="s">
        <v>218</v>
      </c>
      <c r="B44" s="84">
        <v>5544</v>
      </c>
      <c r="C44" s="84">
        <v>244</v>
      </c>
      <c r="D44" s="84">
        <v>2880</v>
      </c>
      <c r="E44" s="85">
        <v>88</v>
      </c>
      <c r="F44" s="85">
        <v>92</v>
      </c>
      <c r="G44" s="85">
        <v>90</v>
      </c>
    </row>
    <row r="45" spans="1:7" x14ac:dyDescent="0.25">
      <c r="A45" s="88" t="s">
        <v>216</v>
      </c>
      <c r="B45" s="84">
        <v>5544</v>
      </c>
      <c r="C45" s="84">
        <v>244</v>
      </c>
      <c r="D45" s="84">
        <v>2880</v>
      </c>
      <c r="E45" s="85">
        <v>88</v>
      </c>
      <c r="F45" s="85">
        <v>92</v>
      </c>
      <c r="G45" s="85">
        <v>90</v>
      </c>
    </row>
    <row r="46" spans="1:7" x14ac:dyDescent="0.25">
      <c r="A46" s="87" t="s">
        <v>76</v>
      </c>
      <c r="B46" s="84">
        <v>186862</v>
      </c>
      <c r="C46" s="84">
        <v>8008</v>
      </c>
      <c r="D46" s="84">
        <v>50250</v>
      </c>
      <c r="E46" s="85">
        <v>83</v>
      </c>
      <c r="F46" s="85">
        <v>86.769230769230774</v>
      </c>
      <c r="G46" s="85">
        <v>88.727272727272734</v>
      </c>
    </row>
    <row r="47" spans="1:7" x14ac:dyDescent="0.25">
      <c r="A47" s="88" t="s">
        <v>74</v>
      </c>
      <c r="B47" s="84">
        <v>2611</v>
      </c>
      <c r="C47" s="84">
        <v>466</v>
      </c>
      <c r="D47" s="84">
        <v>2324</v>
      </c>
      <c r="E47" s="85">
        <v>97</v>
      </c>
      <c r="F47" s="85">
        <v>92</v>
      </c>
      <c r="G47" s="85">
        <v>88</v>
      </c>
    </row>
    <row r="48" spans="1:7" x14ac:dyDescent="0.25">
      <c r="A48" s="88" t="s">
        <v>79</v>
      </c>
      <c r="B48" s="84">
        <v>13416</v>
      </c>
      <c r="C48" s="84">
        <v>323</v>
      </c>
      <c r="D48" s="84">
        <v>2347</v>
      </c>
      <c r="E48" s="85">
        <v>79</v>
      </c>
      <c r="F48" s="85">
        <v>84</v>
      </c>
      <c r="G48" s="85">
        <v>90</v>
      </c>
    </row>
    <row r="49" spans="1:7" x14ac:dyDescent="0.25">
      <c r="A49" s="88" t="s">
        <v>80</v>
      </c>
      <c r="B49" s="84">
        <v>2163</v>
      </c>
      <c r="C49" s="84">
        <v>96</v>
      </c>
      <c r="D49" s="84">
        <v>246</v>
      </c>
      <c r="E49" s="85">
        <v>83</v>
      </c>
      <c r="F49" s="85">
        <v>84</v>
      </c>
      <c r="G49" s="85">
        <v>88</v>
      </c>
    </row>
    <row r="50" spans="1:7" x14ac:dyDescent="0.25">
      <c r="A50" s="88" t="s">
        <v>81</v>
      </c>
      <c r="B50" s="84">
        <v>10341</v>
      </c>
      <c r="C50" s="84">
        <v>683</v>
      </c>
      <c r="D50" s="84">
        <v>0</v>
      </c>
      <c r="E50" s="85">
        <v>78</v>
      </c>
      <c r="F50" s="85">
        <v>90</v>
      </c>
      <c r="G50" s="85">
        <v>0</v>
      </c>
    </row>
    <row r="51" spans="1:7" x14ac:dyDescent="0.25">
      <c r="A51" s="88" t="s">
        <v>82</v>
      </c>
      <c r="B51" s="84">
        <v>87213</v>
      </c>
      <c r="C51" s="84">
        <v>2002</v>
      </c>
      <c r="D51" s="84">
        <v>10796</v>
      </c>
      <c r="E51" s="85">
        <v>70</v>
      </c>
      <c r="F51" s="85">
        <v>74</v>
      </c>
      <c r="G51" s="85">
        <v>90</v>
      </c>
    </row>
    <row r="52" spans="1:7" x14ac:dyDescent="0.25">
      <c r="A52" s="88" t="s">
        <v>329</v>
      </c>
      <c r="B52" s="84">
        <v>2842</v>
      </c>
      <c r="C52" s="84">
        <v>380</v>
      </c>
      <c r="D52" s="84">
        <v>0</v>
      </c>
      <c r="E52" s="85">
        <v>85</v>
      </c>
      <c r="F52" s="85">
        <v>94</v>
      </c>
      <c r="G52" s="85">
        <v>0</v>
      </c>
    </row>
    <row r="53" spans="1:7" x14ac:dyDescent="0.25">
      <c r="A53" s="88" t="s">
        <v>135</v>
      </c>
      <c r="B53" s="84">
        <v>10600</v>
      </c>
      <c r="C53" s="84">
        <v>292</v>
      </c>
      <c r="D53" s="84">
        <v>208</v>
      </c>
      <c r="E53" s="85">
        <v>88</v>
      </c>
      <c r="F53" s="85">
        <v>86</v>
      </c>
      <c r="G53" s="85">
        <v>80</v>
      </c>
    </row>
    <row r="54" spans="1:7" x14ac:dyDescent="0.25">
      <c r="A54" s="88" t="s">
        <v>89</v>
      </c>
      <c r="B54" s="84">
        <v>12116</v>
      </c>
      <c r="C54" s="84">
        <v>1206</v>
      </c>
      <c r="D54" s="84">
        <v>11862</v>
      </c>
      <c r="E54" s="85">
        <v>82</v>
      </c>
      <c r="F54" s="85">
        <v>88</v>
      </c>
      <c r="G54" s="85">
        <v>98</v>
      </c>
    </row>
    <row r="55" spans="1:7" x14ac:dyDescent="0.25">
      <c r="A55" s="88" t="s">
        <v>202</v>
      </c>
      <c r="B55" s="84">
        <v>7469</v>
      </c>
      <c r="C55" s="84">
        <v>629</v>
      </c>
      <c r="D55" s="84">
        <v>7396</v>
      </c>
      <c r="E55" s="85">
        <v>80</v>
      </c>
      <c r="F55" s="85">
        <v>86</v>
      </c>
      <c r="G55" s="85">
        <v>90</v>
      </c>
    </row>
    <row r="56" spans="1:7" x14ac:dyDescent="0.25">
      <c r="A56" s="88" t="s">
        <v>177</v>
      </c>
      <c r="B56" s="84">
        <v>4716</v>
      </c>
      <c r="C56" s="84">
        <v>277</v>
      </c>
      <c r="D56" s="84">
        <v>231</v>
      </c>
      <c r="E56" s="85">
        <v>91</v>
      </c>
      <c r="F56" s="85">
        <v>94</v>
      </c>
      <c r="G56" s="85">
        <v>90</v>
      </c>
    </row>
    <row r="57" spans="1:7" x14ac:dyDescent="0.25">
      <c r="A57" s="88" t="s">
        <v>146</v>
      </c>
      <c r="B57" s="84">
        <v>8581</v>
      </c>
      <c r="C57" s="84">
        <v>275</v>
      </c>
      <c r="D57" s="84">
        <v>341</v>
      </c>
      <c r="E57" s="85">
        <v>69</v>
      </c>
      <c r="F57" s="85">
        <v>76</v>
      </c>
      <c r="G57" s="85">
        <v>86</v>
      </c>
    </row>
    <row r="58" spans="1:7" x14ac:dyDescent="0.25">
      <c r="A58" s="88" t="s">
        <v>97</v>
      </c>
      <c r="B58" s="84">
        <v>20049</v>
      </c>
      <c r="C58" s="84">
        <v>994</v>
      </c>
      <c r="D58" s="84">
        <v>9175</v>
      </c>
      <c r="E58" s="85">
        <v>89</v>
      </c>
      <c r="F58" s="85">
        <v>90</v>
      </c>
      <c r="G58" s="85">
        <v>90</v>
      </c>
    </row>
    <row r="59" spans="1:7" x14ac:dyDescent="0.25">
      <c r="A59" s="88" t="s">
        <v>154</v>
      </c>
      <c r="B59" s="84">
        <v>4745</v>
      </c>
      <c r="C59" s="84">
        <v>385</v>
      </c>
      <c r="D59" s="84">
        <v>5324</v>
      </c>
      <c r="E59" s="85">
        <v>88</v>
      </c>
      <c r="F59" s="85">
        <v>90</v>
      </c>
      <c r="G59" s="85">
        <v>86</v>
      </c>
    </row>
    <row r="60" spans="1:7" x14ac:dyDescent="0.25">
      <c r="A60" s="87" t="s">
        <v>6</v>
      </c>
      <c r="B60" s="84">
        <v>35214</v>
      </c>
      <c r="C60" s="84">
        <v>269</v>
      </c>
      <c r="D60" s="84">
        <v>0</v>
      </c>
      <c r="E60" s="85">
        <v>89.5</v>
      </c>
      <c r="F60" s="85">
        <v>88</v>
      </c>
      <c r="G60" s="85">
        <v>0</v>
      </c>
    </row>
    <row r="61" spans="1:7" x14ac:dyDescent="0.25">
      <c r="A61" s="88" t="s">
        <v>346</v>
      </c>
      <c r="B61" s="84">
        <v>33809</v>
      </c>
      <c r="C61" s="84">
        <v>269</v>
      </c>
      <c r="D61" s="84">
        <v>0</v>
      </c>
      <c r="E61" s="85">
        <v>88</v>
      </c>
      <c r="F61" s="85">
        <v>88</v>
      </c>
      <c r="G61" s="85">
        <v>0</v>
      </c>
    </row>
    <row r="62" spans="1:7" x14ac:dyDescent="0.25">
      <c r="A62" s="88" t="s">
        <v>259</v>
      </c>
      <c r="B62" s="84">
        <v>1405</v>
      </c>
      <c r="C62" s="84">
        <v>0</v>
      </c>
      <c r="D62" s="84">
        <v>0</v>
      </c>
      <c r="E62" s="85">
        <v>91</v>
      </c>
      <c r="F62" s="85">
        <v>0</v>
      </c>
      <c r="G62" s="85">
        <v>0</v>
      </c>
    </row>
    <row r="63" spans="1:7" x14ac:dyDescent="0.25">
      <c r="A63" s="87" t="s">
        <v>131</v>
      </c>
      <c r="B63" s="84">
        <v>40976</v>
      </c>
      <c r="C63" s="84">
        <v>899</v>
      </c>
      <c r="D63" s="84">
        <v>7954</v>
      </c>
      <c r="E63" s="85">
        <v>92</v>
      </c>
      <c r="F63" s="85">
        <v>86</v>
      </c>
      <c r="G63" s="85">
        <v>91</v>
      </c>
    </row>
    <row r="64" spans="1:7" x14ac:dyDescent="0.25">
      <c r="A64" s="88" t="s">
        <v>129</v>
      </c>
      <c r="B64" s="84">
        <v>22696</v>
      </c>
      <c r="C64" s="84">
        <v>445</v>
      </c>
      <c r="D64" s="84">
        <v>3942</v>
      </c>
      <c r="E64" s="85">
        <v>91</v>
      </c>
      <c r="F64" s="85">
        <v>86</v>
      </c>
      <c r="G64" s="85">
        <v>90</v>
      </c>
    </row>
    <row r="65" spans="1:7" x14ac:dyDescent="0.25">
      <c r="A65" s="88" t="s">
        <v>141</v>
      </c>
      <c r="B65" s="84">
        <v>18280</v>
      </c>
      <c r="C65" s="84">
        <v>454</v>
      </c>
      <c r="D65" s="84">
        <v>4012</v>
      </c>
      <c r="E65" s="85">
        <v>93</v>
      </c>
      <c r="F65" s="85">
        <v>86</v>
      </c>
      <c r="G65" s="85">
        <v>92</v>
      </c>
    </row>
    <row r="66" spans="1:7" x14ac:dyDescent="0.25">
      <c r="A66" s="87" t="s">
        <v>232</v>
      </c>
      <c r="B66" s="84">
        <v>44252</v>
      </c>
      <c r="C66" s="84">
        <v>0</v>
      </c>
      <c r="D66" s="84">
        <v>36165</v>
      </c>
      <c r="E66" s="85">
        <v>93.5</v>
      </c>
      <c r="F66" s="85">
        <v>0</v>
      </c>
      <c r="G66" s="85">
        <v>90</v>
      </c>
    </row>
    <row r="67" spans="1:7" x14ac:dyDescent="0.25">
      <c r="A67" s="88" t="s">
        <v>230</v>
      </c>
      <c r="B67" s="84">
        <v>24697</v>
      </c>
      <c r="C67" s="84">
        <v>0</v>
      </c>
      <c r="D67" s="84">
        <v>30168</v>
      </c>
      <c r="E67" s="85">
        <v>96</v>
      </c>
      <c r="F67" s="85">
        <v>0</v>
      </c>
      <c r="G67" s="85">
        <v>90</v>
      </c>
    </row>
    <row r="68" spans="1:7" x14ac:dyDescent="0.25">
      <c r="A68" s="88" t="s">
        <v>252</v>
      </c>
      <c r="B68" s="84">
        <v>19555</v>
      </c>
      <c r="C68" s="84">
        <v>0</v>
      </c>
      <c r="D68" s="84">
        <v>5997</v>
      </c>
      <c r="E68" s="85">
        <v>91</v>
      </c>
      <c r="F68" s="85">
        <v>0</v>
      </c>
      <c r="G68" s="85">
        <v>90</v>
      </c>
    </row>
    <row r="69" spans="1:7" x14ac:dyDescent="0.25">
      <c r="A69" s="87" t="s">
        <v>215</v>
      </c>
      <c r="B69" s="84">
        <v>33125</v>
      </c>
      <c r="C69" s="84">
        <v>0</v>
      </c>
      <c r="D69" s="84">
        <v>0</v>
      </c>
      <c r="E69" s="85">
        <v>95</v>
      </c>
      <c r="F69" s="85">
        <v>0</v>
      </c>
      <c r="G69" s="85">
        <v>0</v>
      </c>
    </row>
    <row r="70" spans="1:7" x14ac:dyDescent="0.25">
      <c r="A70" s="88" t="s">
        <v>213</v>
      </c>
      <c r="B70" s="84">
        <v>33125</v>
      </c>
      <c r="C70" s="84">
        <v>0</v>
      </c>
      <c r="D70" s="84">
        <v>0</v>
      </c>
      <c r="E70" s="85">
        <v>95</v>
      </c>
      <c r="F70" s="85">
        <v>0</v>
      </c>
      <c r="G70" s="85">
        <v>0</v>
      </c>
    </row>
    <row r="71" spans="1:7" x14ac:dyDescent="0.25">
      <c r="A71" s="87" t="s">
        <v>86</v>
      </c>
      <c r="B71" s="84">
        <v>20590</v>
      </c>
      <c r="C71" s="84">
        <v>257</v>
      </c>
      <c r="D71" s="84">
        <v>0</v>
      </c>
      <c r="E71" s="85">
        <v>86.666666666666671</v>
      </c>
      <c r="F71" s="85">
        <v>89.333333333333329</v>
      </c>
      <c r="G71" s="85">
        <v>0</v>
      </c>
    </row>
    <row r="72" spans="1:7" x14ac:dyDescent="0.25">
      <c r="A72" s="88" t="s">
        <v>257</v>
      </c>
      <c r="B72" s="84">
        <v>6440</v>
      </c>
      <c r="C72" s="84">
        <v>20</v>
      </c>
      <c r="D72" s="84">
        <v>0</v>
      </c>
      <c r="E72" s="85">
        <v>82</v>
      </c>
      <c r="F72" s="85">
        <v>92</v>
      </c>
      <c r="G72" s="85">
        <v>0</v>
      </c>
    </row>
    <row r="73" spans="1:7" x14ac:dyDescent="0.25">
      <c r="A73" s="88" t="s">
        <v>341</v>
      </c>
      <c r="B73" s="84">
        <v>4795</v>
      </c>
      <c r="C73" s="84">
        <v>4</v>
      </c>
      <c r="D73" s="84">
        <v>0</v>
      </c>
      <c r="E73" s="85">
        <v>83</v>
      </c>
      <c r="F73" s="85">
        <v>80</v>
      </c>
      <c r="G73" s="85">
        <v>0</v>
      </c>
    </row>
    <row r="74" spans="1:7" x14ac:dyDescent="0.25">
      <c r="A74" s="88" t="s">
        <v>101</v>
      </c>
      <c r="B74" s="84">
        <v>9355</v>
      </c>
      <c r="C74" s="84">
        <v>233</v>
      </c>
      <c r="D74" s="84">
        <v>0</v>
      </c>
      <c r="E74" s="85">
        <v>95</v>
      </c>
      <c r="F74" s="85">
        <v>96</v>
      </c>
      <c r="G74" s="85">
        <v>0</v>
      </c>
    </row>
    <row r="75" spans="1:7" x14ac:dyDescent="0.25">
      <c r="A75" s="87" t="s">
        <v>237</v>
      </c>
      <c r="B75" s="84">
        <v>3601</v>
      </c>
      <c r="C75" s="84">
        <v>224</v>
      </c>
      <c r="D75" s="84">
        <v>6066</v>
      </c>
      <c r="E75" s="85">
        <v>95</v>
      </c>
      <c r="F75" s="85">
        <v>80</v>
      </c>
      <c r="G75" s="85">
        <v>90</v>
      </c>
    </row>
    <row r="76" spans="1:7" x14ac:dyDescent="0.25">
      <c r="A76" s="88" t="s">
        <v>236</v>
      </c>
      <c r="B76" s="84">
        <v>3601</v>
      </c>
      <c r="C76" s="84">
        <v>224</v>
      </c>
      <c r="D76" s="84">
        <v>6066</v>
      </c>
      <c r="E76" s="85">
        <v>95</v>
      </c>
      <c r="F76" s="85">
        <v>80</v>
      </c>
      <c r="G76" s="85">
        <v>90</v>
      </c>
    </row>
    <row r="77" spans="1:7" x14ac:dyDescent="0.25">
      <c r="A77" s="87" t="s">
        <v>221</v>
      </c>
      <c r="B77" s="84">
        <v>6686</v>
      </c>
      <c r="C77" s="84">
        <v>444</v>
      </c>
      <c r="D77" s="84">
        <v>2049</v>
      </c>
      <c r="E77" s="85">
        <v>72.5</v>
      </c>
      <c r="F77" s="85">
        <v>75</v>
      </c>
      <c r="G77" s="85">
        <v>80</v>
      </c>
    </row>
    <row r="78" spans="1:7" x14ac:dyDescent="0.25">
      <c r="A78" s="88" t="s">
        <v>234</v>
      </c>
      <c r="B78" s="84">
        <v>2910</v>
      </c>
      <c r="C78" s="84">
        <v>227</v>
      </c>
      <c r="D78" s="84">
        <v>1785</v>
      </c>
      <c r="E78" s="85">
        <v>74</v>
      </c>
      <c r="F78" s="85">
        <v>74</v>
      </c>
      <c r="G78" s="85">
        <v>80</v>
      </c>
    </row>
    <row r="79" spans="1:7" x14ac:dyDescent="0.25">
      <c r="A79" s="88" t="s">
        <v>220</v>
      </c>
      <c r="B79" s="84">
        <v>3776</v>
      </c>
      <c r="C79" s="84">
        <v>217</v>
      </c>
      <c r="D79" s="84">
        <v>264</v>
      </c>
      <c r="E79" s="85">
        <v>71</v>
      </c>
      <c r="F79" s="85">
        <v>76</v>
      </c>
      <c r="G79" s="85">
        <v>80</v>
      </c>
    </row>
    <row r="80" spans="1:7" x14ac:dyDescent="0.25">
      <c r="A80" s="87" t="s">
        <v>296</v>
      </c>
      <c r="B80" s="84">
        <v>1457</v>
      </c>
      <c r="C80" s="84">
        <v>0</v>
      </c>
      <c r="D80" s="84">
        <v>0</v>
      </c>
      <c r="E80" s="85">
        <v>91</v>
      </c>
      <c r="F80" s="85">
        <v>0</v>
      </c>
      <c r="G80" s="85">
        <v>0</v>
      </c>
    </row>
    <row r="81" spans="1:7" x14ac:dyDescent="0.25">
      <c r="A81" s="88" t="s">
        <v>294</v>
      </c>
      <c r="B81" s="84">
        <v>1457</v>
      </c>
      <c r="C81" s="84">
        <v>0</v>
      </c>
      <c r="D81" s="84">
        <v>0</v>
      </c>
      <c r="E81" s="85">
        <v>91</v>
      </c>
      <c r="F81" s="85">
        <v>0</v>
      </c>
      <c r="G81" s="85">
        <v>0</v>
      </c>
    </row>
    <row r="82" spans="1:7" x14ac:dyDescent="0.25">
      <c r="A82" s="87" t="s">
        <v>322</v>
      </c>
      <c r="B82" s="84">
        <v>3389</v>
      </c>
      <c r="C82" s="84">
        <v>468</v>
      </c>
      <c r="D82" s="84">
        <v>42</v>
      </c>
      <c r="E82" s="85">
        <v>70</v>
      </c>
      <c r="F82" s="85">
        <v>74</v>
      </c>
      <c r="G82" s="85">
        <v>70</v>
      </c>
    </row>
    <row r="83" spans="1:7" x14ac:dyDescent="0.25">
      <c r="A83" s="88" t="s">
        <v>320</v>
      </c>
      <c r="B83" s="84">
        <v>3389</v>
      </c>
      <c r="C83" s="84">
        <v>468</v>
      </c>
      <c r="D83" s="84">
        <v>42</v>
      </c>
      <c r="E83" s="85">
        <v>70</v>
      </c>
      <c r="F83" s="85">
        <v>74</v>
      </c>
      <c r="G83" s="85">
        <v>70</v>
      </c>
    </row>
    <row r="84" spans="1:7" x14ac:dyDescent="0.25">
      <c r="A84" s="87" t="s">
        <v>92</v>
      </c>
      <c r="B84" s="84">
        <v>95639</v>
      </c>
      <c r="C84" s="84">
        <v>340</v>
      </c>
      <c r="D84" s="84">
        <v>324</v>
      </c>
      <c r="E84" s="85">
        <v>97</v>
      </c>
      <c r="F84" s="85">
        <v>94</v>
      </c>
      <c r="G84" s="85">
        <v>88</v>
      </c>
    </row>
    <row r="85" spans="1:7" x14ac:dyDescent="0.25">
      <c r="A85" s="88" t="s">
        <v>90</v>
      </c>
      <c r="B85" s="84">
        <v>95639</v>
      </c>
      <c r="C85" s="84">
        <v>340</v>
      </c>
      <c r="D85" s="84">
        <v>324</v>
      </c>
      <c r="E85" s="85">
        <v>97</v>
      </c>
      <c r="F85" s="85">
        <v>94</v>
      </c>
      <c r="G85" s="85">
        <v>88</v>
      </c>
    </row>
    <row r="86" spans="1:7" x14ac:dyDescent="0.25">
      <c r="A86" s="87" t="s">
        <v>151</v>
      </c>
      <c r="B86" s="84">
        <v>22288</v>
      </c>
      <c r="C86" s="84">
        <v>0</v>
      </c>
      <c r="D86" s="84">
        <v>0</v>
      </c>
      <c r="E86" s="85">
        <v>95</v>
      </c>
      <c r="F86" s="85">
        <v>0</v>
      </c>
      <c r="G86" s="85">
        <v>0</v>
      </c>
    </row>
    <row r="87" spans="1:7" x14ac:dyDescent="0.25">
      <c r="A87" s="88" t="s">
        <v>150</v>
      </c>
      <c r="B87" s="84">
        <v>22288</v>
      </c>
      <c r="C87" s="84">
        <v>0</v>
      </c>
      <c r="D87" s="84">
        <v>0</v>
      </c>
      <c r="E87" s="85">
        <v>95</v>
      </c>
      <c r="F87" s="85">
        <v>0</v>
      </c>
      <c r="G87" s="85">
        <v>0</v>
      </c>
    </row>
    <row r="88" spans="1:7" x14ac:dyDescent="0.25">
      <c r="A88" s="87" t="s">
        <v>34</v>
      </c>
      <c r="B88" s="84">
        <v>90444</v>
      </c>
      <c r="C88" s="84">
        <v>60595</v>
      </c>
      <c r="D88" s="84">
        <v>445</v>
      </c>
      <c r="E88" s="85">
        <v>81.92307692307692</v>
      </c>
      <c r="F88" s="85">
        <v>79.544000000000011</v>
      </c>
      <c r="G88" s="85">
        <v>90</v>
      </c>
    </row>
    <row r="89" spans="1:7" x14ac:dyDescent="0.25">
      <c r="A89" s="88" t="s">
        <v>292</v>
      </c>
      <c r="B89" s="84">
        <v>0</v>
      </c>
      <c r="C89" s="84">
        <v>545</v>
      </c>
      <c r="D89" s="84">
        <v>0</v>
      </c>
      <c r="E89" s="85">
        <v>0</v>
      </c>
      <c r="F89" s="85">
        <v>92</v>
      </c>
      <c r="G89" s="85">
        <v>0</v>
      </c>
    </row>
    <row r="90" spans="1:7" x14ac:dyDescent="0.25">
      <c r="A90" s="88" t="s">
        <v>314</v>
      </c>
      <c r="B90" s="84">
        <v>1375</v>
      </c>
      <c r="C90" s="84">
        <v>586</v>
      </c>
      <c r="D90" s="84">
        <v>0</v>
      </c>
      <c r="E90" s="85">
        <v>81</v>
      </c>
      <c r="F90" s="85">
        <v>80</v>
      </c>
      <c r="G90" s="85">
        <v>0</v>
      </c>
    </row>
    <row r="91" spans="1:7" x14ac:dyDescent="0.25">
      <c r="A91" s="88" t="s">
        <v>265</v>
      </c>
      <c r="B91" s="84">
        <v>1133</v>
      </c>
      <c r="C91" s="84">
        <v>459</v>
      </c>
      <c r="D91" s="84">
        <v>445</v>
      </c>
      <c r="E91" s="85">
        <v>49</v>
      </c>
      <c r="F91" s="85">
        <v>64</v>
      </c>
      <c r="G91" s="85">
        <v>90</v>
      </c>
    </row>
    <row r="92" spans="1:7" x14ac:dyDescent="0.25">
      <c r="A92" s="88" t="s">
        <v>316</v>
      </c>
      <c r="B92" s="84">
        <v>0</v>
      </c>
      <c r="C92" s="84">
        <v>230</v>
      </c>
      <c r="D92" s="84">
        <v>0</v>
      </c>
      <c r="E92" s="85">
        <v>0</v>
      </c>
      <c r="F92" s="85">
        <v>80</v>
      </c>
      <c r="G92" s="85">
        <v>0</v>
      </c>
    </row>
    <row r="93" spans="1:7" x14ac:dyDescent="0.25">
      <c r="A93" s="88" t="s">
        <v>300</v>
      </c>
      <c r="B93" s="84">
        <v>0</v>
      </c>
      <c r="C93" s="84">
        <v>1144</v>
      </c>
      <c r="D93" s="84">
        <v>0</v>
      </c>
      <c r="E93" s="85">
        <v>0</v>
      </c>
      <c r="F93" s="85">
        <v>82</v>
      </c>
      <c r="G93" s="85">
        <v>0</v>
      </c>
    </row>
    <row r="94" spans="1:7" x14ac:dyDescent="0.25">
      <c r="A94" s="88" t="s">
        <v>263</v>
      </c>
      <c r="B94" s="84">
        <v>3411</v>
      </c>
      <c r="C94" s="84">
        <v>2000</v>
      </c>
      <c r="D94" s="84">
        <v>0</v>
      </c>
      <c r="E94" s="85">
        <v>82</v>
      </c>
      <c r="F94" s="85">
        <v>82</v>
      </c>
      <c r="G94" s="85">
        <v>0</v>
      </c>
    </row>
    <row r="95" spans="1:7" x14ac:dyDescent="0.25">
      <c r="A95" s="88" t="s">
        <v>157</v>
      </c>
      <c r="B95" s="84">
        <v>40000</v>
      </c>
      <c r="C95" s="84">
        <v>40000</v>
      </c>
      <c r="D95" s="84">
        <v>0</v>
      </c>
      <c r="E95" s="85">
        <v>96</v>
      </c>
      <c r="F95" s="85">
        <v>96</v>
      </c>
      <c r="G95" s="85">
        <v>0</v>
      </c>
    </row>
    <row r="96" spans="1:7" x14ac:dyDescent="0.25">
      <c r="A96" s="88" t="s">
        <v>324</v>
      </c>
      <c r="B96" s="84">
        <v>0</v>
      </c>
      <c r="C96" s="84">
        <v>765</v>
      </c>
      <c r="D96" s="84">
        <v>0</v>
      </c>
      <c r="E96" s="85">
        <v>0</v>
      </c>
      <c r="F96" s="85">
        <v>84</v>
      </c>
      <c r="G96" s="85">
        <v>0</v>
      </c>
    </row>
    <row r="97" spans="1:7" x14ac:dyDescent="0.25">
      <c r="A97" s="88" t="s">
        <v>287</v>
      </c>
      <c r="B97" s="84">
        <v>0</v>
      </c>
      <c r="C97" s="84">
        <v>3228</v>
      </c>
      <c r="D97" s="84">
        <v>0</v>
      </c>
      <c r="E97" s="85">
        <v>96</v>
      </c>
      <c r="F97" s="85">
        <v>96</v>
      </c>
      <c r="G97" s="85">
        <v>0</v>
      </c>
    </row>
    <row r="98" spans="1:7" x14ac:dyDescent="0.25">
      <c r="A98" s="88" t="s">
        <v>306</v>
      </c>
      <c r="B98" s="84">
        <v>0</v>
      </c>
      <c r="C98" s="84">
        <v>304</v>
      </c>
      <c r="D98" s="84">
        <v>0</v>
      </c>
      <c r="E98" s="85">
        <v>0</v>
      </c>
      <c r="F98" s="85">
        <v>90</v>
      </c>
      <c r="G98" s="85">
        <v>0</v>
      </c>
    </row>
    <row r="99" spans="1:7" x14ac:dyDescent="0.25">
      <c r="A99" s="88" t="s">
        <v>298</v>
      </c>
      <c r="B99" s="84">
        <v>0</v>
      </c>
      <c r="C99" s="84">
        <v>298</v>
      </c>
      <c r="D99" s="84">
        <v>0</v>
      </c>
      <c r="E99" s="85">
        <v>0</v>
      </c>
      <c r="F99" s="85">
        <v>0.88</v>
      </c>
      <c r="G99" s="85">
        <v>0</v>
      </c>
    </row>
    <row r="100" spans="1:7" x14ac:dyDescent="0.25">
      <c r="A100" s="88" t="s">
        <v>282</v>
      </c>
      <c r="B100" s="84">
        <v>0</v>
      </c>
      <c r="C100" s="84">
        <v>409</v>
      </c>
      <c r="D100" s="84">
        <v>0</v>
      </c>
      <c r="E100" s="85">
        <v>0</v>
      </c>
      <c r="F100" s="85">
        <v>88</v>
      </c>
      <c r="G100" s="85">
        <v>0</v>
      </c>
    </row>
    <row r="101" spans="1:7" x14ac:dyDescent="0.25">
      <c r="A101" s="88" t="s">
        <v>255</v>
      </c>
      <c r="B101" s="84">
        <v>2552</v>
      </c>
      <c r="C101" s="84">
        <v>2691</v>
      </c>
      <c r="D101" s="84">
        <v>0</v>
      </c>
      <c r="E101" s="85">
        <v>82</v>
      </c>
      <c r="F101" s="85">
        <v>82</v>
      </c>
      <c r="G101" s="85">
        <v>0</v>
      </c>
    </row>
    <row r="102" spans="1:7" x14ac:dyDescent="0.25">
      <c r="A102" s="88" t="s">
        <v>301</v>
      </c>
      <c r="B102" s="84">
        <v>2232</v>
      </c>
      <c r="C102" s="84">
        <v>850</v>
      </c>
      <c r="D102" s="84">
        <v>0</v>
      </c>
      <c r="E102" s="85">
        <v>89</v>
      </c>
      <c r="F102" s="85">
        <v>74</v>
      </c>
      <c r="G102" s="85">
        <v>0</v>
      </c>
    </row>
    <row r="103" spans="1:7" ht="30" x14ac:dyDescent="0.25">
      <c r="A103" s="88" t="s">
        <v>32</v>
      </c>
      <c r="B103" s="84">
        <v>12731</v>
      </c>
      <c r="C103" s="84">
        <v>364</v>
      </c>
      <c r="D103" s="84">
        <v>0</v>
      </c>
      <c r="E103" s="85">
        <v>96</v>
      </c>
      <c r="F103" s="85">
        <v>94</v>
      </c>
      <c r="G103" s="85">
        <v>0</v>
      </c>
    </row>
    <row r="104" spans="1:7" x14ac:dyDescent="0.25">
      <c r="A104" s="88" t="s">
        <v>36</v>
      </c>
      <c r="B104" s="84">
        <v>7768</v>
      </c>
      <c r="C104" s="84">
        <v>2001</v>
      </c>
      <c r="D104" s="84">
        <v>0</v>
      </c>
      <c r="E104" s="85">
        <v>84</v>
      </c>
      <c r="F104" s="85">
        <v>82</v>
      </c>
      <c r="G104" s="85">
        <v>0</v>
      </c>
    </row>
    <row r="105" spans="1:7" x14ac:dyDescent="0.25">
      <c r="A105" s="88" t="s">
        <v>326</v>
      </c>
      <c r="B105" s="84">
        <v>639</v>
      </c>
      <c r="C105" s="84">
        <v>899</v>
      </c>
      <c r="D105" s="84">
        <v>0</v>
      </c>
      <c r="E105" s="85">
        <v>62</v>
      </c>
      <c r="F105" s="85">
        <v>76</v>
      </c>
      <c r="G105" s="85">
        <v>0</v>
      </c>
    </row>
    <row r="106" spans="1:7" x14ac:dyDescent="0.25">
      <c r="A106" s="88" t="s">
        <v>203</v>
      </c>
      <c r="B106" s="84">
        <v>13003</v>
      </c>
      <c r="C106" s="84">
        <v>1876</v>
      </c>
      <c r="D106" s="84">
        <v>0</v>
      </c>
      <c r="E106" s="85">
        <v>83</v>
      </c>
      <c r="F106" s="85">
        <v>82</v>
      </c>
      <c r="G106" s="85">
        <v>0</v>
      </c>
    </row>
    <row r="107" spans="1:7" x14ac:dyDescent="0.25">
      <c r="A107" s="88" t="s">
        <v>290</v>
      </c>
      <c r="B107" s="84">
        <v>4123</v>
      </c>
      <c r="C107" s="84">
        <v>451</v>
      </c>
      <c r="D107" s="84">
        <v>0</v>
      </c>
      <c r="E107" s="85">
        <v>75</v>
      </c>
      <c r="F107" s="85">
        <v>80</v>
      </c>
      <c r="G107" s="85">
        <v>0</v>
      </c>
    </row>
    <row r="108" spans="1:7" x14ac:dyDescent="0.25">
      <c r="A108" s="88" t="s">
        <v>148</v>
      </c>
      <c r="B108" s="84">
        <v>1477</v>
      </c>
      <c r="C108" s="84">
        <v>1495</v>
      </c>
      <c r="D108" s="84">
        <v>0</v>
      </c>
      <c r="E108" s="85">
        <v>90</v>
      </c>
      <c r="F108" s="85">
        <v>86</v>
      </c>
      <c r="G108" s="85">
        <v>0</v>
      </c>
    </row>
    <row r="109" spans="1:7" x14ac:dyDescent="0.25">
      <c r="A109" s="87" t="s">
        <v>99</v>
      </c>
      <c r="B109" s="84">
        <v>9474</v>
      </c>
      <c r="C109" s="84">
        <v>490</v>
      </c>
      <c r="D109" s="84">
        <v>0</v>
      </c>
      <c r="E109" s="85">
        <v>94</v>
      </c>
      <c r="F109" s="85">
        <v>94</v>
      </c>
      <c r="G109" s="85">
        <v>0</v>
      </c>
    </row>
    <row r="110" spans="1:7" x14ac:dyDescent="0.25">
      <c r="A110" s="88" t="s">
        <v>98</v>
      </c>
      <c r="B110" s="84">
        <v>9474</v>
      </c>
      <c r="C110" s="84">
        <v>490</v>
      </c>
      <c r="D110" s="84">
        <v>0</v>
      </c>
      <c r="E110" s="85">
        <v>94</v>
      </c>
      <c r="F110" s="85">
        <v>94</v>
      </c>
      <c r="G110" s="85">
        <v>0</v>
      </c>
    </row>
    <row r="111" spans="1:7" x14ac:dyDescent="0.25">
      <c r="A111" s="87" t="s">
        <v>372</v>
      </c>
      <c r="B111" s="84">
        <v>48149</v>
      </c>
      <c r="C111" s="84">
        <v>368</v>
      </c>
      <c r="D111" s="84">
        <v>0</v>
      </c>
      <c r="E111" s="85">
        <v>89</v>
      </c>
      <c r="F111" s="85">
        <v>90</v>
      </c>
      <c r="G111" s="85">
        <v>0</v>
      </c>
    </row>
    <row r="112" spans="1:7" x14ac:dyDescent="0.25">
      <c r="A112" s="88" t="s">
        <v>244</v>
      </c>
      <c r="B112" s="84">
        <v>48149</v>
      </c>
      <c r="C112" s="84">
        <v>368</v>
      </c>
      <c r="D112" s="84">
        <v>0</v>
      </c>
      <c r="E112" s="85">
        <v>89</v>
      </c>
      <c r="F112" s="85">
        <v>90</v>
      </c>
      <c r="G112" s="85">
        <v>0</v>
      </c>
    </row>
    <row r="113" spans="1:7" x14ac:dyDescent="0.25">
      <c r="A113" s="87" t="s">
        <v>176</v>
      </c>
      <c r="B113" s="84">
        <v>5196</v>
      </c>
      <c r="C113" s="84">
        <v>388</v>
      </c>
      <c r="D113" s="84">
        <v>1094</v>
      </c>
      <c r="E113" s="85">
        <v>93</v>
      </c>
      <c r="F113" s="85">
        <v>94</v>
      </c>
      <c r="G113" s="85">
        <v>90</v>
      </c>
    </row>
    <row r="114" spans="1:7" x14ac:dyDescent="0.25">
      <c r="A114" s="88" t="s">
        <v>175</v>
      </c>
      <c r="B114" s="84">
        <v>5196</v>
      </c>
      <c r="C114" s="84">
        <v>388</v>
      </c>
      <c r="D114" s="84">
        <v>1094</v>
      </c>
      <c r="E114" s="85">
        <v>93</v>
      </c>
      <c r="F114" s="85">
        <v>94</v>
      </c>
      <c r="G114" s="85">
        <v>90</v>
      </c>
    </row>
    <row r="115" spans="1:7" x14ac:dyDescent="0.25">
      <c r="A115" s="87" t="s">
        <v>143</v>
      </c>
      <c r="B115" s="84">
        <v>18757</v>
      </c>
      <c r="C115" s="84">
        <v>323</v>
      </c>
      <c r="D115" s="84">
        <v>8653</v>
      </c>
      <c r="E115" s="85">
        <v>91</v>
      </c>
      <c r="F115" s="85">
        <v>94</v>
      </c>
      <c r="G115" s="85">
        <v>90</v>
      </c>
    </row>
    <row r="116" spans="1:7" x14ac:dyDescent="0.25">
      <c r="A116" s="88" t="s">
        <v>142</v>
      </c>
      <c r="B116" s="84">
        <v>18757</v>
      </c>
      <c r="C116" s="84">
        <v>323</v>
      </c>
      <c r="D116" s="84">
        <v>8653</v>
      </c>
      <c r="E116" s="85">
        <v>91</v>
      </c>
      <c r="F116" s="85">
        <v>94</v>
      </c>
      <c r="G116" s="85">
        <v>90</v>
      </c>
    </row>
    <row r="117" spans="1:7" x14ac:dyDescent="0.25">
      <c r="A117" s="87" t="s">
        <v>64</v>
      </c>
      <c r="B117" s="84">
        <v>0</v>
      </c>
      <c r="C117" s="84">
        <v>247</v>
      </c>
      <c r="D117" s="84">
        <v>0</v>
      </c>
      <c r="E117" s="85">
        <v>0</v>
      </c>
      <c r="F117" s="85">
        <v>88</v>
      </c>
      <c r="G117" s="85">
        <v>0</v>
      </c>
    </row>
    <row r="118" spans="1:7" x14ac:dyDescent="0.25">
      <c r="A118" s="88" t="s">
        <v>303</v>
      </c>
      <c r="B118" s="84">
        <v>0</v>
      </c>
      <c r="C118" s="84">
        <v>247</v>
      </c>
      <c r="D118" s="84">
        <v>0</v>
      </c>
      <c r="E118" s="85">
        <v>0</v>
      </c>
      <c r="F118" s="85">
        <v>88</v>
      </c>
      <c r="G118" s="85">
        <v>0</v>
      </c>
    </row>
    <row r="119" spans="1:7" ht="30" x14ac:dyDescent="0.25">
      <c r="A119" s="89" t="s">
        <v>62</v>
      </c>
      <c r="B119" s="84">
        <v>0</v>
      </c>
      <c r="C119" s="84">
        <v>0</v>
      </c>
      <c r="D119" s="84">
        <v>0</v>
      </c>
      <c r="E119" s="85">
        <v>0</v>
      </c>
      <c r="F119" s="85">
        <v>0</v>
      </c>
      <c r="G119" s="85">
        <v>0</v>
      </c>
    </row>
    <row r="120" spans="1:7" x14ac:dyDescent="0.25">
      <c r="A120" s="83" t="s">
        <v>506</v>
      </c>
      <c r="B120" s="84">
        <v>0</v>
      </c>
      <c r="C120" s="84">
        <v>0</v>
      </c>
      <c r="D120" s="84">
        <v>0</v>
      </c>
      <c r="E120" s="85">
        <v>0</v>
      </c>
      <c r="F120" s="85">
        <v>0</v>
      </c>
      <c r="G120" s="85">
        <v>0</v>
      </c>
    </row>
    <row r="121" spans="1:7" x14ac:dyDescent="0.25">
      <c r="A121" s="87" t="s">
        <v>453</v>
      </c>
      <c r="B121" s="84">
        <v>0</v>
      </c>
      <c r="C121" s="84">
        <v>0</v>
      </c>
      <c r="D121" s="84">
        <v>0</v>
      </c>
      <c r="E121" s="85">
        <v>0</v>
      </c>
      <c r="F121" s="85">
        <v>0</v>
      </c>
      <c r="G121" s="85">
        <v>0</v>
      </c>
    </row>
    <row r="122" spans="1:7" x14ac:dyDescent="0.25">
      <c r="A122" s="88" t="s">
        <v>490</v>
      </c>
      <c r="B122" s="84">
        <v>0</v>
      </c>
      <c r="C122" s="84">
        <v>0</v>
      </c>
      <c r="D122" s="84">
        <v>0</v>
      </c>
      <c r="E122" s="85">
        <v>0</v>
      </c>
      <c r="F122" s="85">
        <v>0</v>
      </c>
      <c r="G122" s="85">
        <v>0</v>
      </c>
    </row>
    <row r="123" spans="1:7" x14ac:dyDescent="0.25">
      <c r="A123" s="88" t="s">
        <v>451</v>
      </c>
      <c r="B123" s="84">
        <v>0</v>
      </c>
      <c r="C123" s="84">
        <v>0</v>
      </c>
      <c r="D123" s="84">
        <v>0</v>
      </c>
      <c r="E123" s="85">
        <v>0</v>
      </c>
      <c r="F123" s="85">
        <v>0</v>
      </c>
      <c r="G123" s="85">
        <v>0</v>
      </c>
    </row>
    <row r="124" spans="1:7" x14ac:dyDescent="0.25">
      <c r="A124" s="87" t="s">
        <v>251</v>
      </c>
      <c r="B124" s="84">
        <v>16346</v>
      </c>
      <c r="C124" s="84">
        <v>576</v>
      </c>
      <c r="D124" s="84">
        <v>6482</v>
      </c>
      <c r="E124" s="85">
        <v>95</v>
      </c>
      <c r="F124" s="85">
        <v>94</v>
      </c>
      <c r="G124" s="85">
        <v>90</v>
      </c>
    </row>
    <row r="125" spans="1:7" x14ac:dyDescent="0.25">
      <c r="A125" s="88" t="s">
        <v>250</v>
      </c>
      <c r="B125" s="84">
        <v>16346</v>
      </c>
      <c r="C125" s="84">
        <v>576</v>
      </c>
      <c r="D125" s="84">
        <v>6482</v>
      </c>
      <c r="E125" s="85">
        <v>95</v>
      </c>
      <c r="F125" s="85">
        <v>94</v>
      </c>
      <c r="G125" s="85">
        <v>90</v>
      </c>
    </row>
    <row r="126" spans="1:7" x14ac:dyDescent="0.25">
      <c r="A126" s="87" t="s">
        <v>273</v>
      </c>
      <c r="B126" s="84">
        <v>12130</v>
      </c>
      <c r="C126" s="84">
        <v>286</v>
      </c>
      <c r="D126" s="84">
        <v>0</v>
      </c>
      <c r="E126" s="85">
        <v>97</v>
      </c>
      <c r="F126" s="85">
        <v>90</v>
      </c>
      <c r="G126" s="85">
        <v>0</v>
      </c>
    </row>
    <row r="127" spans="1:7" x14ac:dyDescent="0.25">
      <c r="A127" s="88" t="s">
        <v>272</v>
      </c>
      <c r="B127" s="84">
        <v>12130</v>
      </c>
      <c r="C127" s="84">
        <v>286</v>
      </c>
      <c r="D127" s="84">
        <v>0</v>
      </c>
      <c r="E127" s="85">
        <v>97</v>
      </c>
      <c r="F127" s="85">
        <v>90</v>
      </c>
      <c r="G127" s="85">
        <v>0</v>
      </c>
    </row>
    <row r="128" spans="1:7" x14ac:dyDescent="0.25">
      <c r="A128" s="87" t="s">
        <v>262</v>
      </c>
      <c r="B128" s="84">
        <v>3814</v>
      </c>
      <c r="C128" s="84">
        <v>211</v>
      </c>
      <c r="D128" s="84">
        <v>0</v>
      </c>
      <c r="E128" s="85">
        <v>86</v>
      </c>
      <c r="F128" s="85">
        <v>82</v>
      </c>
      <c r="G128" s="85">
        <v>0</v>
      </c>
    </row>
    <row r="129" spans="1:7" x14ac:dyDescent="0.25">
      <c r="A129" s="88" t="s">
        <v>261</v>
      </c>
      <c r="B129" s="84">
        <v>3814</v>
      </c>
      <c r="C129" s="84">
        <v>211</v>
      </c>
      <c r="D129" s="84">
        <v>0</v>
      </c>
      <c r="E129" s="85">
        <v>86</v>
      </c>
      <c r="F129" s="85">
        <v>82</v>
      </c>
      <c r="G129" s="85">
        <v>0</v>
      </c>
    </row>
    <row r="130" spans="1:7" x14ac:dyDescent="0.25">
      <c r="A130" s="87" t="s">
        <v>184</v>
      </c>
      <c r="B130" s="84">
        <v>29097</v>
      </c>
      <c r="C130" s="84">
        <v>1316</v>
      </c>
      <c r="D130" s="84">
        <v>65557</v>
      </c>
      <c r="E130" s="85">
        <v>96</v>
      </c>
      <c r="F130" s="85">
        <v>90</v>
      </c>
      <c r="G130" s="85">
        <v>94</v>
      </c>
    </row>
    <row r="131" spans="1:7" x14ac:dyDescent="0.25">
      <c r="A131" s="88" t="s">
        <v>183</v>
      </c>
      <c r="B131" s="84">
        <v>29097</v>
      </c>
      <c r="C131" s="84">
        <v>1316</v>
      </c>
      <c r="D131" s="84">
        <v>65557</v>
      </c>
      <c r="E131" s="85">
        <v>96</v>
      </c>
      <c r="F131" s="85">
        <v>90</v>
      </c>
      <c r="G131" s="85">
        <v>94</v>
      </c>
    </row>
    <row r="132" spans="1:7" x14ac:dyDescent="0.25">
      <c r="A132" s="87" t="s">
        <v>181</v>
      </c>
      <c r="B132" s="84">
        <v>39952</v>
      </c>
      <c r="C132" s="84">
        <v>83</v>
      </c>
      <c r="D132" s="84">
        <v>2909</v>
      </c>
      <c r="E132" s="85">
        <v>85</v>
      </c>
      <c r="F132" s="85">
        <v>94</v>
      </c>
      <c r="G132" s="85">
        <v>90</v>
      </c>
    </row>
    <row r="133" spans="1:7" x14ac:dyDescent="0.25">
      <c r="A133" s="88" t="s">
        <v>180</v>
      </c>
      <c r="B133" s="84">
        <v>39952</v>
      </c>
      <c r="C133" s="84">
        <v>83</v>
      </c>
      <c r="D133" s="84">
        <v>2909</v>
      </c>
      <c r="E133" s="85">
        <v>85</v>
      </c>
      <c r="F133" s="85">
        <v>94</v>
      </c>
      <c r="G133" s="85">
        <v>90</v>
      </c>
    </row>
    <row r="134" spans="1:7" x14ac:dyDescent="0.25">
      <c r="A134" s="87" t="s">
        <v>121</v>
      </c>
      <c r="B134" s="84">
        <v>391899</v>
      </c>
      <c r="C134" s="84">
        <v>5556</v>
      </c>
      <c r="D134" s="84">
        <v>115441</v>
      </c>
      <c r="E134" s="85">
        <v>77</v>
      </c>
      <c r="F134" s="85">
        <v>82</v>
      </c>
      <c r="G134" s="85">
        <v>90</v>
      </c>
    </row>
    <row r="135" spans="1:7" x14ac:dyDescent="0.25">
      <c r="A135" s="88" t="s">
        <v>348</v>
      </c>
      <c r="B135" s="84">
        <v>379093</v>
      </c>
      <c r="C135" s="84">
        <v>4579</v>
      </c>
      <c r="D135" s="84">
        <v>114958</v>
      </c>
      <c r="E135" s="85">
        <v>69</v>
      </c>
      <c r="F135" s="85">
        <v>60</v>
      </c>
      <c r="G135" s="85">
        <v>90</v>
      </c>
    </row>
    <row r="136" spans="1:7" x14ac:dyDescent="0.25">
      <c r="A136" s="88" t="s">
        <v>125</v>
      </c>
      <c r="B136" s="84">
        <v>12806</v>
      </c>
      <c r="C136" s="84">
        <v>210</v>
      </c>
      <c r="D136" s="84">
        <v>483</v>
      </c>
      <c r="E136" s="85">
        <v>85</v>
      </c>
      <c r="F136" s="85">
        <v>94</v>
      </c>
      <c r="G136" s="85">
        <v>90</v>
      </c>
    </row>
    <row r="137" spans="1:7" x14ac:dyDescent="0.25">
      <c r="A137" s="88" t="s">
        <v>120</v>
      </c>
      <c r="B137" s="84">
        <v>0</v>
      </c>
      <c r="C137" s="84">
        <v>767</v>
      </c>
      <c r="D137" s="84">
        <v>0</v>
      </c>
      <c r="E137" s="85">
        <v>0</v>
      </c>
      <c r="F137" s="85">
        <v>92</v>
      </c>
      <c r="G137" s="85">
        <v>0</v>
      </c>
    </row>
    <row r="138" spans="1:7" x14ac:dyDescent="0.25">
      <c r="A138" s="87" t="s">
        <v>54</v>
      </c>
      <c r="B138" s="84">
        <v>0</v>
      </c>
      <c r="C138" s="84">
        <v>666</v>
      </c>
      <c r="D138" s="84">
        <v>4814</v>
      </c>
      <c r="E138" s="85">
        <v>0</v>
      </c>
      <c r="F138" s="85">
        <v>86</v>
      </c>
      <c r="G138" s="85">
        <v>88</v>
      </c>
    </row>
    <row r="139" spans="1:7" x14ac:dyDescent="0.25">
      <c r="A139" s="88" t="s">
        <v>51</v>
      </c>
      <c r="B139" s="84">
        <v>0</v>
      </c>
      <c r="C139" s="84">
        <v>666</v>
      </c>
      <c r="D139" s="84">
        <v>4814</v>
      </c>
      <c r="E139" s="85">
        <v>0</v>
      </c>
      <c r="F139" s="85">
        <v>86</v>
      </c>
      <c r="G139" s="85">
        <v>88</v>
      </c>
    </row>
    <row r="140" spans="1:7" x14ac:dyDescent="0.25">
      <c r="A140" s="87" t="s">
        <v>192</v>
      </c>
      <c r="B140" s="84">
        <v>16753</v>
      </c>
      <c r="C140" s="84">
        <v>638</v>
      </c>
      <c r="D140" s="84">
        <v>13656</v>
      </c>
      <c r="E140" s="85">
        <v>91</v>
      </c>
      <c r="F140" s="85">
        <v>88</v>
      </c>
      <c r="G140" s="85">
        <v>91</v>
      </c>
    </row>
    <row r="141" spans="1:7" x14ac:dyDescent="0.25">
      <c r="A141" s="88" t="s">
        <v>190</v>
      </c>
      <c r="B141" s="84">
        <v>16753</v>
      </c>
      <c r="C141" s="84">
        <v>638</v>
      </c>
      <c r="D141" s="84">
        <v>11015</v>
      </c>
      <c r="E141" s="85">
        <v>91</v>
      </c>
      <c r="F141" s="85">
        <v>88</v>
      </c>
      <c r="G141" s="85">
        <v>92</v>
      </c>
    </row>
    <row r="142" spans="1:7" x14ac:dyDescent="0.25">
      <c r="A142" s="88" t="s">
        <v>368</v>
      </c>
      <c r="B142" s="84">
        <v>0</v>
      </c>
      <c r="C142" s="84">
        <v>0</v>
      </c>
      <c r="D142" s="84">
        <v>2641</v>
      </c>
      <c r="E142" s="85">
        <v>0</v>
      </c>
      <c r="F142" s="85">
        <v>0</v>
      </c>
      <c r="G142" s="85">
        <v>90</v>
      </c>
    </row>
    <row r="143" spans="1:7" x14ac:dyDescent="0.25">
      <c r="A143" s="87" t="s">
        <v>166</v>
      </c>
      <c r="B143" s="84">
        <v>0</v>
      </c>
      <c r="C143" s="84">
        <v>0</v>
      </c>
      <c r="D143" s="84">
        <v>97645</v>
      </c>
      <c r="E143" s="85">
        <v>0</v>
      </c>
      <c r="F143" s="85">
        <v>0</v>
      </c>
      <c r="G143" s="85">
        <v>90.4</v>
      </c>
    </row>
    <row r="144" spans="1:7" x14ac:dyDescent="0.25">
      <c r="A144" s="88" t="s">
        <v>164</v>
      </c>
      <c r="B144" s="84">
        <v>0</v>
      </c>
      <c r="C144" s="84">
        <v>0</v>
      </c>
      <c r="D144" s="84">
        <v>36619</v>
      </c>
      <c r="E144" s="85">
        <v>0</v>
      </c>
      <c r="F144" s="85">
        <v>0</v>
      </c>
      <c r="G144" s="85">
        <v>92</v>
      </c>
    </row>
    <row r="145" spans="1:7" x14ac:dyDescent="0.25">
      <c r="A145" s="88" t="s">
        <v>356</v>
      </c>
      <c r="B145" s="84">
        <v>0</v>
      </c>
      <c r="C145" s="84">
        <v>0</v>
      </c>
      <c r="D145" s="84">
        <v>107</v>
      </c>
      <c r="E145" s="85">
        <v>0</v>
      </c>
      <c r="F145" s="85">
        <v>0</v>
      </c>
      <c r="G145" s="85">
        <v>92</v>
      </c>
    </row>
    <row r="146" spans="1:7" x14ac:dyDescent="0.25">
      <c r="A146" s="88" t="s">
        <v>308</v>
      </c>
      <c r="B146" s="84">
        <v>0</v>
      </c>
      <c r="C146" s="84">
        <v>0</v>
      </c>
      <c r="D146" s="84">
        <v>12640</v>
      </c>
      <c r="E146" s="85">
        <v>0</v>
      </c>
      <c r="F146" s="85">
        <v>0</v>
      </c>
      <c r="G146" s="85">
        <v>80</v>
      </c>
    </row>
    <row r="147" spans="1:7" x14ac:dyDescent="0.25">
      <c r="A147" s="88" t="s">
        <v>194</v>
      </c>
      <c r="B147" s="84">
        <v>0</v>
      </c>
      <c r="C147" s="84">
        <v>0</v>
      </c>
      <c r="D147" s="84">
        <v>34336</v>
      </c>
      <c r="E147" s="85">
        <v>0</v>
      </c>
      <c r="F147" s="85">
        <v>0</v>
      </c>
      <c r="G147" s="85">
        <v>100</v>
      </c>
    </row>
    <row r="148" spans="1:7" x14ac:dyDescent="0.25">
      <c r="A148" s="88" t="s">
        <v>297</v>
      </c>
      <c r="B148" s="84">
        <v>0</v>
      </c>
      <c r="C148" s="84">
        <v>0</v>
      </c>
      <c r="D148" s="84">
        <v>13943</v>
      </c>
      <c r="E148" s="85">
        <v>0</v>
      </c>
      <c r="F148" s="85">
        <v>0</v>
      </c>
      <c r="G148" s="85">
        <v>88</v>
      </c>
    </row>
    <row r="149" spans="1:7" x14ac:dyDescent="0.25">
      <c r="A149" s="87" t="s">
        <v>26</v>
      </c>
      <c r="B149" s="84">
        <v>0</v>
      </c>
      <c r="C149" s="84">
        <v>0</v>
      </c>
      <c r="D149" s="84">
        <v>12982</v>
      </c>
      <c r="E149" s="85">
        <v>0</v>
      </c>
      <c r="F149" s="85">
        <v>0</v>
      </c>
      <c r="G149" s="85">
        <v>98.5</v>
      </c>
    </row>
    <row r="150" spans="1:7" x14ac:dyDescent="0.25">
      <c r="A150" s="88" t="s">
        <v>103</v>
      </c>
      <c r="B150" s="84">
        <v>0</v>
      </c>
      <c r="C150" s="84">
        <v>0</v>
      </c>
      <c r="D150" s="84">
        <v>4079</v>
      </c>
      <c r="E150" s="85">
        <v>0</v>
      </c>
      <c r="F150" s="85">
        <v>0</v>
      </c>
      <c r="G150" s="85">
        <v>100</v>
      </c>
    </row>
    <row r="151" spans="1:7" x14ac:dyDescent="0.25">
      <c r="A151" s="88" t="s">
        <v>24</v>
      </c>
      <c r="B151" s="84">
        <v>0</v>
      </c>
      <c r="C151" s="84">
        <v>0</v>
      </c>
      <c r="D151" s="84">
        <v>2360</v>
      </c>
      <c r="E151" s="85">
        <v>0</v>
      </c>
      <c r="F151" s="85">
        <v>0</v>
      </c>
      <c r="G151" s="85">
        <v>98</v>
      </c>
    </row>
    <row r="152" spans="1:7" x14ac:dyDescent="0.25">
      <c r="A152" s="88" t="s">
        <v>364</v>
      </c>
      <c r="B152" s="84">
        <v>0</v>
      </c>
      <c r="C152" s="84">
        <v>0</v>
      </c>
      <c r="D152" s="84">
        <v>4870</v>
      </c>
      <c r="E152" s="85">
        <v>0</v>
      </c>
      <c r="F152" s="85">
        <v>0</v>
      </c>
      <c r="G152" s="85">
        <v>98</v>
      </c>
    </row>
    <row r="153" spans="1:7" x14ac:dyDescent="0.25">
      <c r="A153" s="88" t="s">
        <v>363</v>
      </c>
      <c r="B153" s="84">
        <v>0</v>
      </c>
      <c r="C153" s="84">
        <v>0</v>
      </c>
      <c r="D153" s="84">
        <v>1673</v>
      </c>
      <c r="E153" s="85">
        <v>0</v>
      </c>
      <c r="F153" s="85">
        <v>0</v>
      </c>
      <c r="G153" s="85">
        <v>98</v>
      </c>
    </row>
    <row r="154" spans="1:7" x14ac:dyDescent="0.25">
      <c r="A154" s="87" t="s">
        <v>29</v>
      </c>
      <c r="B154" s="84">
        <v>297130</v>
      </c>
      <c r="C154" s="84">
        <v>5404</v>
      </c>
      <c r="D154" s="84">
        <v>81896</v>
      </c>
      <c r="E154" s="85">
        <v>87.5</v>
      </c>
      <c r="F154" s="85">
        <v>90</v>
      </c>
      <c r="G154" s="85">
        <v>90.857142857142861</v>
      </c>
    </row>
    <row r="155" spans="1:7" x14ac:dyDescent="0.25">
      <c r="A155" s="88" t="s">
        <v>211</v>
      </c>
      <c r="B155" s="84">
        <v>11074</v>
      </c>
      <c r="C155" s="84">
        <v>249</v>
      </c>
      <c r="D155" s="84">
        <v>0</v>
      </c>
      <c r="E155" s="85">
        <v>91</v>
      </c>
      <c r="F155" s="85">
        <v>90</v>
      </c>
      <c r="G155" s="85">
        <v>0</v>
      </c>
    </row>
    <row r="156" spans="1:7" x14ac:dyDescent="0.25">
      <c r="A156" s="88" t="s">
        <v>133</v>
      </c>
      <c r="B156" s="84">
        <v>11084</v>
      </c>
      <c r="C156" s="84">
        <v>66</v>
      </c>
      <c r="D156" s="84">
        <v>513</v>
      </c>
      <c r="E156" s="85">
        <v>78</v>
      </c>
      <c r="F156" s="85">
        <v>76</v>
      </c>
      <c r="G156" s="85">
        <v>90</v>
      </c>
    </row>
    <row r="157" spans="1:7" x14ac:dyDescent="0.25">
      <c r="A157" s="88" t="s">
        <v>53</v>
      </c>
      <c r="B157" s="84">
        <v>119422</v>
      </c>
      <c r="C157" s="84">
        <v>719</v>
      </c>
      <c r="D157" s="84">
        <v>23597</v>
      </c>
      <c r="E157" s="85">
        <v>96</v>
      </c>
      <c r="F157" s="85">
        <v>94</v>
      </c>
      <c r="G157" s="85">
        <v>90</v>
      </c>
    </row>
    <row r="158" spans="1:7" x14ac:dyDescent="0.25">
      <c r="A158" s="88" t="s">
        <v>342</v>
      </c>
      <c r="B158" s="84">
        <v>29536</v>
      </c>
      <c r="C158" s="84">
        <v>321</v>
      </c>
      <c r="D158" s="84">
        <v>2130</v>
      </c>
      <c r="E158" s="85">
        <v>84</v>
      </c>
      <c r="F158" s="85">
        <v>98</v>
      </c>
      <c r="G158" s="85">
        <v>98</v>
      </c>
    </row>
    <row r="159" spans="1:7" x14ac:dyDescent="0.25">
      <c r="A159" s="88" t="s">
        <v>107</v>
      </c>
      <c r="B159" s="84">
        <v>34084</v>
      </c>
      <c r="C159" s="84">
        <v>1212</v>
      </c>
      <c r="D159" s="84">
        <v>12590</v>
      </c>
      <c r="E159" s="85">
        <v>92</v>
      </c>
      <c r="F159" s="85">
        <v>92</v>
      </c>
      <c r="G159" s="85">
        <v>88</v>
      </c>
    </row>
    <row r="160" spans="1:7" x14ac:dyDescent="0.25">
      <c r="A160" s="88" t="s">
        <v>105</v>
      </c>
      <c r="B160" s="84">
        <v>7660</v>
      </c>
      <c r="C160" s="84">
        <v>230</v>
      </c>
      <c r="D160" s="84">
        <v>865</v>
      </c>
      <c r="E160" s="85">
        <v>71</v>
      </c>
      <c r="F160" s="85">
        <v>90</v>
      </c>
      <c r="G160" s="85">
        <v>88</v>
      </c>
    </row>
    <row r="161" spans="1:7" x14ac:dyDescent="0.25">
      <c r="A161" s="88" t="s">
        <v>207</v>
      </c>
      <c r="B161" s="84">
        <v>13404</v>
      </c>
      <c r="C161" s="84">
        <v>607</v>
      </c>
      <c r="D161" s="84">
        <v>14043</v>
      </c>
      <c r="E161" s="85">
        <v>93</v>
      </c>
      <c r="F161" s="85">
        <v>88</v>
      </c>
      <c r="G161" s="85">
        <v>90</v>
      </c>
    </row>
    <row r="162" spans="1:7" x14ac:dyDescent="0.25">
      <c r="A162" s="88" t="s">
        <v>332</v>
      </c>
      <c r="B162" s="84">
        <v>70866</v>
      </c>
      <c r="C162" s="84">
        <v>2000</v>
      </c>
      <c r="D162" s="84">
        <v>28158</v>
      </c>
      <c r="E162" s="85">
        <v>95</v>
      </c>
      <c r="F162" s="85">
        <v>92</v>
      </c>
      <c r="G162" s="85">
        <v>92</v>
      </c>
    </row>
    <row r="163" spans="1:7" x14ac:dyDescent="0.25">
      <c r="A163" s="87" t="s">
        <v>139</v>
      </c>
      <c r="B163" s="84">
        <v>33595</v>
      </c>
      <c r="C163" s="84">
        <v>788</v>
      </c>
      <c r="D163" s="84">
        <v>0</v>
      </c>
      <c r="E163" s="85">
        <v>95</v>
      </c>
      <c r="F163" s="85">
        <v>86</v>
      </c>
      <c r="G163" s="85">
        <v>0</v>
      </c>
    </row>
    <row r="164" spans="1:7" x14ac:dyDescent="0.25">
      <c r="A164" s="88" t="s">
        <v>138</v>
      </c>
      <c r="B164" s="84">
        <v>33595</v>
      </c>
      <c r="C164" s="84">
        <v>788</v>
      </c>
      <c r="D164" s="84">
        <v>0</v>
      </c>
      <c r="E164" s="85">
        <v>95</v>
      </c>
      <c r="F164" s="85">
        <v>86</v>
      </c>
      <c r="G164" s="85">
        <v>0</v>
      </c>
    </row>
    <row r="165" spans="1:7" x14ac:dyDescent="0.25">
      <c r="A165" s="87" t="s">
        <v>248</v>
      </c>
      <c r="B165" s="84">
        <v>7894</v>
      </c>
      <c r="C165" s="84">
        <v>0</v>
      </c>
      <c r="D165" s="84">
        <v>0</v>
      </c>
      <c r="E165" s="85">
        <v>97</v>
      </c>
      <c r="F165" s="85">
        <v>0</v>
      </c>
      <c r="G165" s="85">
        <v>0</v>
      </c>
    </row>
    <row r="166" spans="1:7" x14ac:dyDescent="0.25">
      <c r="A166" s="88" t="s">
        <v>247</v>
      </c>
      <c r="B166" s="84">
        <v>7894</v>
      </c>
      <c r="C166" s="84">
        <v>0</v>
      </c>
      <c r="D166" s="84">
        <v>0</v>
      </c>
      <c r="E166" s="85">
        <v>97</v>
      </c>
      <c r="F166" s="85">
        <v>0</v>
      </c>
      <c r="G166" s="85">
        <v>0</v>
      </c>
    </row>
    <row r="167" spans="1:7" x14ac:dyDescent="0.25">
      <c r="A167" s="87" t="s">
        <v>59</v>
      </c>
      <c r="B167" s="84">
        <v>31366</v>
      </c>
      <c r="C167" s="84">
        <v>188</v>
      </c>
      <c r="D167" s="84">
        <v>384</v>
      </c>
      <c r="E167" s="85">
        <v>95</v>
      </c>
      <c r="F167" s="85">
        <v>94</v>
      </c>
      <c r="G167" s="85">
        <v>98</v>
      </c>
    </row>
    <row r="168" spans="1:7" x14ac:dyDescent="0.25">
      <c r="A168" s="88" t="s">
        <v>52</v>
      </c>
      <c r="B168" s="84">
        <v>31366</v>
      </c>
      <c r="C168" s="84">
        <v>188</v>
      </c>
      <c r="D168" s="84">
        <v>384</v>
      </c>
      <c r="E168" s="85">
        <v>95</v>
      </c>
      <c r="F168" s="85">
        <v>94</v>
      </c>
      <c r="G168" s="85">
        <v>98</v>
      </c>
    </row>
    <row r="169" spans="1:7" x14ac:dyDescent="0.25">
      <c r="A169" s="87" t="s">
        <v>156</v>
      </c>
      <c r="B169" s="84">
        <v>3114</v>
      </c>
      <c r="C169" s="84">
        <v>104</v>
      </c>
      <c r="D169" s="84">
        <v>171</v>
      </c>
      <c r="E169" s="85">
        <v>81</v>
      </c>
      <c r="F169" s="85">
        <v>95</v>
      </c>
      <c r="G169" s="85">
        <v>90</v>
      </c>
    </row>
    <row r="170" spans="1:7" x14ac:dyDescent="0.25">
      <c r="A170" s="88" t="s">
        <v>340</v>
      </c>
      <c r="B170" s="84">
        <v>3114</v>
      </c>
      <c r="C170" s="84">
        <v>104</v>
      </c>
      <c r="D170" s="84">
        <v>171</v>
      </c>
      <c r="E170" s="85">
        <v>81</v>
      </c>
      <c r="F170" s="85">
        <v>95</v>
      </c>
      <c r="G170" s="85">
        <v>90</v>
      </c>
    </row>
    <row r="171" spans="1:7" x14ac:dyDescent="0.25">
      <c r="A171" s="87" t="s">
        <v>161</v>
      </c>
      <c r="B171" s="84">
        <v>28786</v>
      </c>
      <c r="C171" s="84">
        <v>1432</v>
      </c>
      <c r="D171" s="84">
        <v>29577</v>
      </c>
      <c r="E171" s="85">
        <v>96</v>
      </c>
      <c r="F171" s="85">
        <v>95</v>
      </c>
      <c r="G171" s="85">
        <v>95</v>
      </c>
    </row>
    <row r="172" spans="1:7" x14ac:dyDescent="0.25">
      <c r="A172" s="88" t="s">
        <v>174</v>
      </c>
      <c r="B172" s="84">
        <v>11510</v>
      </c>
      <c r="C172" s="84">
        <v>729</v>
      </c>
      <c r="D172" s="84">
        <v>22291</v>
      </c>
      <c r="E172" s="85">
        <v>95</v>
      </c>
      <c r="F172" s="85">
        <v>94</v>
      </c>
      <c r="G172" s="85">
        <v>90</v>
      </c>
    </row>
    <row r="173" spans="1:7" x14ac:dyDescent="0.25">
      <c r="A173" s="88" t="s">
        <v>160</v>
      </c>
      <c r="B173" s="84">
        <v>17276</v>
      </c>
      <c r="C173" s="84">
        <v>703</v>
      </c>
      <c r="D173" s="84">
        <v>7286</v>
      </c>
      <c r="E173" s="85">
        <v>97</v>
      </c>
      <c r="F173" s="85">
        <v>96</v>
      </c>
      <c r="G173" s="85">
        <v>100</v>
      </c>
    </row>
    <row r="174" spans="1:7" x14ac:dyDescent="0.25">
      <c r="A174" s="87" t="s">
        <v>310</v>
      </c>
      <c r="B174" s="84">
        <v>1521</v>
      </c>
      <c r="C174" s="84">
        <v>201</v>
      </c>
      <c r="D174" s="84">
        <v>223</v>
      </c>
      <c r="E174" s="85">
        <v>93</v>
      </c>
      <c r="F174" s="85">
        <v>94</v>
      </c>
      <c r="G174" s="85">
        <v>98</v>
      </c>
    </row>
    <row r="175" spans="1:7" x14ac:dyDescent="0.25">
      <c r="A175" s="88" t="s">
        <v>311</v>
      </c>
      <c r="B175" s="84">
        <v>1521</v>
      </c>
      <c r="C175" s="84">
        <v>201</v>
      </c>
      <c r="D175" s="84">
        <v>223</v>
      </c>
      <c r="E175" s="85">
        <v>93</v>
      </c>
      <c r="F175" s="85">
        <v>94</v>
      </c>
      <c r="G175" s="85">
        <v>98</v>
      </c>
    </row>
    <row r="176" spans="1:7" x14ac:dyDescent="0.25">
      <c r="A176" s="87" t="s">
        <v>49</v>
      </c>
      <c r="B176" s="84">
        <v>8135</v>
      </c>
      <c r="C176" s="84">
        <v>0</v>
      </c>
      <c r="D176" s="84">
        <v>0</v>
      </c>
      <c r="E176" s="85">
        <v>94</v>
      </c>
      <c r="F176" s="85">
        <v>0</v>
      </c>
      <c r="G176" s="85">
        <v>0</v>
      </c>
    </row>
    <row r="177" spans="1:7" x14ac:dyDescent="0.25">
      <c r="A177" s="88" t="s">
        <v>47</v>
      </c>
      <c r="B177" s="84">
        <v>8135</v>
      </c>
      <c r="C177" s="84">
        <v>0</v>
      </c>
      <c r="D177" s="84">
        <v>0</v>
      </c>
      <c r="E177" s="85">
        <v>94</v>
      </c>
      <c r="F177" s="85">
        <v>0</v>
      </c>
      <c r="G177" s="85">
        <v>0</v>
      </c>
    </row>
    <row r="178" spans="1:7" x14ac:dyDescent="0.25">
      <c r="A178" s="87" t="s">
        <v>449</v>
      </c>
      <c r="B178" s="84">
        <v>12341</v>
      </c>
      <c r="C178" s="84">
        <v>571</v>
      </c>
      <c r="D178" s="84">
        <v>1709</v>
      </c>
      <c r="E178" s="85">
        <v>81.5</v>
      </c>
      <c r="F178" s="85">
        <v>77.5</v>
      </c>
      <c r="G178" s="85">
        <v>78.5</v>
      </c>
    </row>
    <row r="179" spans="1:7" x14ac:dyDescent="0.25">
      <c r="A179" s="88" t="s">
        <v>447</v>
      </c>
      <c r="B179" s="84">
        <v>6275</v>
      </c>
      <c r="C179" s="84">
        <v>218</v>
      </c>
      <c r="D179" s="84">
        <v>853</v>
      </c>
      <c r="E179" s="85">
        <v>89</v>
      </c>
      <c r="F179" s="85">
        <v>75</v>
      </c>
      <c r="G179" s="85">
        <v>75</v>
      </c>
    </row>
    <row r="180" spans="1:7" x14ac:dyDescent="0.25">
      <c r="A180" s="88" t="s">
        <v>450</v>
      </c>
      <c r="B180" s="84">
        <v>6066</v>
      </c>
      <c r="C180" s="84">
        <v>353</v>
      </c>
      <c r="D180" s="84">
        <v>856</v>
      </c>
      <c r="E180" s="85">
        <v>74</v>
      </c>
      <c r="F180" s="85">
        <v>80</v>
      </c>
      <c r="G180" s="85">
        <v>82</v>
      </c>
    </row>
    <row r="181" spans="1:7" x14ac:dyDescent="0.25">
      <c r="A181" s="87" t="s">
        <v>114</v>
      </c>
      <c r="B181" s="84">
        <v>246469</v>
      </c>
      <c r="C181" s="84">
        <v>9136</v>
      </c>
      <c r="D181" s="84">
        <v>158784</v>
      </c>
      <c r="E181" s="85">
        <v>81.3125</v>
      </c>
      <c r="F181" s="85">
        <v>83.333333333333329</v>
      </c>
      <c r="G181" s="85">
        <v>89.272727272727266</v>
      </c>
    </row>
    <row r="182" spans="1:7" x14ac:dyDescent="0.25">
      <c r="A182" s="88" t="s">
        <v>337</v>
      </c>
      <c r="B182" s="84">
        <v>4542</v>
      </c>
      <c r="C182" s="84">
        <v>144</v>
      </c>
      <c r="D182" s="84">
        <v>394</v>
      </c>
      <c r="E182" s="85">
        <v>80</v>
      </c>
      <c r="F182" s="85">
        <v>92</v>
      </c>
      <c r="G182" s="85">
        <v>90</v>
      </c>
    </row>
    <row r="183" spans="1:7" x14ac:dyDescent="0.25">
      <c r="A183" s="88" t="s">
        <v>152</v>
      </c>
      <c r="B183" s="84">
        <v>5800</v>
      </c>
      <c r="C183" s="84">
        <v>234</v>
      </c>
      <c r="D183" s="84">
        <v>0</v>
      </c>
      <c r="E183" s="85">
        <v>82</v>
      </c>
      <c r="F183" s="85">
        <v>86</v>
      </c>
      <c r="G183" s="85">
        <v>0</v>
      </c>
    </row>
    <row r="184" spans="1:7" x14ac:dyDescent="0.25">
      <c r="A184" s="88" t="s">
        <v>170</v>
      </c>
      <c r="B184" s="84">
        <v>14766</v>
      </c>
      <c r="C184" s="84">
        <v>290</v>
      </c>
      <c r="D184" s="84">
        <v>0</v>
      </c>
      <c r="E184" s="85">
        <v>84</v>
      </c>
      <c r="F184" s="85">
        <v>94</v>
      </c>
      <c r="G184" s="85">
        <v>0</v>
      </c>
    </row>
    <row r="185" spans="1:7" x14ac:dyDescent="0.25">
      <c r="A185" s="88" t="s">
        <v>116</v>
      </c>
      <c r="B185" s="84">
        <v>22716</v>
      </c>
      <c r="C185" s="84">
        <v>2000</v>
      </c>
      <c r="D185" s="84">
        <v>21091</v>
      </c>
      <c r="E185" s="85">
        <v>87</v>
      </c>
      <c r="F185" s="85">
        <v>88</v>
      </c>
      <c r="G185" s="85">
        <v>90</v>
      </c>
    </row>
    <row r="186" spans="1:7" x14ac:dyDescent="0.25">
      <c r="A186" s="88" t="s">
        <v>334</v>
      </c>
      <c r="B186" s="84">
        <v>12209</v>
      </c>
      <c r="C186" s="84">
        <v>289</v>
      </c>
      <c r="D186" s="84">
        <v>936</v>
      </c>
      <c r="E186" s="85">
        <v>85</v>
      </c>
      <c r="F186" s="85">
        <v>88</v>
      </c>
      <c r="G186" s="85">
        <v>90</v>
      </c>
    </row>
    <row r="187" spans="1:7" x14ac:dyDescent="0.25">
      <c r="A187" s="88" t="s">
        <v>335</v>
      </c>
      <c r="B187" s="84">
        <v>30651</v>
      </c>
      <c r="C187" s="84">
        <v>451</v>
      </c>
      <c r="D187" s="84">
        <v>5497</v>
      </c>
      <c r="E187" s="85">
        <v>83</v>
      </c>
      <c r="F187" s="85">
        <v>84</v>
      </c>
      <c r="G187" s="85">
        <v>88</v>
      </c>
    </row>
    <row r="188" spans="1:7" x14ac:dyDescent="0.25">
      <c r="A188" s="88" t="s">
        <v>201</v>
      </c>
      <c r="B188" s="84">
        <v>5793</v>
      </c>
      <c r="C188" s="84">
        <v>201</v>
      </c>
      <c r="D188" s="84">
        <v>0</v>
      </c>
      <c r="E188" s="85">
        <v>84</v>
      </c>
      <c r="F188" s="85">
        <v>80</v>
      </c>
      <c r="G188" s="85">
        <v>0</v>
      </c>
    </row>
    <row r="189" spans="1:7" x14ac:dyDescent="0.25">
      <c r="A189" s="88" t="s">
        <v>336</v>
      </c>
      <c r="B189" s="84">
        <v>8004</v>
      </c>
      <c r="C189" s="84">
        <v>682</v>
      </c>
      <c r="D189" s="84">
        <v>8169</v>
      </c>
      <c r="E189" s="85">
        <v>75</v>
      </c>
      <c r="F189" s="85">
        <v>72</v>
      </c>
      <c r="G189" s="85">
        <v>86</v>
      </c>
    </row>
    <row r="190" spans="1:7" x14ac:dyDescent="0.25">
      <c r="A190" s="88" t="s">
        <v>339</v>
      </c>
      <c r="B190" s="84">
        <v>15713</v>
      </c>
      <c r="C190" s="84">
        <v>1811</v>
      </c>
      <c r="D190" s="84">
        <v>15013</v>
      </c>
      <c r="E190" s="85">
        <v>59</v>
      </c>
      <c r="F190" s="85">
        <v>76</v>
      </c>
      <c r="G190" s="85">
        <v>80</v>
      </c>
    </row>
    <row r="191" spans="1:7" x14ac:dyDescent="0.25">
      <c r="A191" s="88" t="s">
        <v>246</v>
      </c>
      <c r="B191" s="84">
        <v>1777</v>
      </c>
      <c r="C191" s="84">
        <v>214</v>
      </c>
      <c r="D191" s="84">
        <v>0</v>
      </c>
      <c r="E191" s="85">
        <v>90</v>
      </c>
      <c r="F191" s="85">
        <v>86</v>
      </c>
      <c r="G191" s="85">
        <v>0</v>
      </c>
    </row>
    <row r="192" spans="1:7" x14ac:dyDescent="0.25">
      <c r="A192" s="88" t="s">
        <v>270</v>
      </c>
      <c r="B192" s="84">
        <v>3153</v>
      </c>
      <c r="C192" s="84">
        <v>0</v>
      </c>
      <c r="D192" s="84">
        <v>0</v>
      </c>
      <c r="E192" s="85">
        <v>84</v>
      </c>
      <c r="F192" s="85">
        <v>0</v>
      </c>
      <c r="G192" s="85">
        <v>0</v>
      </c>
    </row>
    <row r="193" spans="1:7" x14ac:dyDescent="0.25">
      <c r="A193" s="88" t="s">
        <v>112</v>
      </c>
      <c r="B193" s="84">
        <v>44264</v>
      </c>
      <c r="C193" s="84">
        <v>204</v>
      </c>
      <c r="D193" s="84">
        <v>2056</v>
      </c>
      <c r="E193" s="85">
        <v>88</v>
      </c>
      <c r="F193" s="85">
        <v>82</v>
      </c>
      <c r="G193" s="85">
        <v>98</v>
      </c>
    </row>
    <row r="194" spans="1:7" x14ac:dyDescent="0.25">
      <c r="A194" s="88" t="s">
        <v>145</v>
      </c>
      <c r="B194" s="84">
        <v>18019</v>
      </c>
      <c r="C194" s="84">
        <v>1075</v>
      </c>
      <c r="D194" s="84">
        <v>34240</v>
      </c>
      <c r="E194" s="85">
        <v>77</v>
      </c>
      <c r="F194" s="85">
        <v>86</v>
      </c>
      <c r="G194" s="85">
        <v>90</v>
      </c>
    </row>
    <row r="195" spans="1:7" ht="15" customHeight="1" x14ac:dyDescent="0.25">
      <c r="A195" s="88" t="s">
        <v>119</v>
      </c>
      <c r="B195" s="84">
        <v>25031</v>
      </c>
      <c r="C195" s="84">
        <v>419</v>
      </c>
      <c r="D195" s="84">
        <v>2136</v>
      </c>
      <c r="E195" s="85">
        <v>68</v>
      </c>
      <c r="F195" s="85">
        <v>68</v>
      </c>
      <c r="G195" s="85">
        <v>88</v>
      </c>
    </row>
    <row r="196" spans="1:7" x14ac:dyDescent="0.25">
      <c r="A196" s="88" t="s">
        <v>277</v>
      </c>
      <c r="B196" s="84">
        <v>13311</v>
      </c>
      <c r="C196" s="84">
        <v>680</v>
      </c>
      <c r="D196" s="84">
        <v>48045</v>
      </c>
      <c r="E196" s="85">
        <v>95</v>
      </c>
      <c r="F196" s="85">
        <v>92</v>
      </c>
      <c r="G196" s="85">
        <v>90</v>
      </c>
    </row>
    <row r="197" spans="1:7" x14ac:dyDescent="0.25">
      <c r="A197" s="88" t="s">
        <v>186</v>
      </c>
      <c r="B197" s="84">
        <v>20720</v>
      </c>
      <c r="C197" s="84">
        <v>442</v>
      </c>
      <c r="D197" s="84">
        <v>21207</v>
      </c>
      <c r="E197" s="85">
        <v>80</v>
      </c>
      <c r="F197" s="85">
        <v>76</v>
      </c>
      <c r="G197" s="85">
        <v>92</v>
      </c>
    </row>
    <row r="198" spans="1:7" x14ac:dyDescent="0.25">
      <c r="A198" s="87" t="s">
        <v>71</v>
      </c>
      <c r="B198" s="84">
        <v>292694</v>
      </c>
      <c r="C198" s="84">
        <v>1030</v>
      </c>
      <c r="D198" s="84">
        <v>0</v>
      </c>
      <c r="E198" s="85">
        <v>96.666666666666671</v>
      </c>
      <c r="F198" s="85">
        <v>94</v>
      </c>
      <c r="G198" s="85">
        <v>0</v>
      </c>
    </row>
    <row r="199" spans="1:7" x14ac:dyDescent="0.25">
      <c r="A199" s="88" t="s">
        <v>110</v>
      </c>
      <c r="B199" s="84">
        <v>48150</v>
      </c>
      <c r="C199" s="84">
        <v>209</v>
      </c>
      <c r="D199" s="84">
        <v>0</v>
      </c>
      <c r="E199" s="85">
        <v>96</v>
      </c>
      <c r="F199" s="85">
        <v>92</v>
      </c>
      <c r="G199" s="85">
        <v>0</v>
      </c>
    </row>
    <row r="200" spans="1:7" x14ac:dyDescent="0.25">
      <c r="A200" s="88" t="s">
        <v>123</v>
      </c>
      <c r="B200" s="84">
        <v>145750</v>
      </c>
      <c r="C200" s="84">
        <v>589</v>
      </c>
      <c r="D200" s="84">
        <v>0</v>
      </c>
      <c r="E200" s="85">
        <v>96</v>
      </c>
      <c r="F200" s="85">
        <v>94</v>
      </c>
      <c r="G200" s="85">
        <v>0</v>
      </c>
    </row>
    <row r="201" spans="1:7" x14ac:dyDescent="0.25">
      <c r="A201" s="88" t="s">
        <v>70</v>
      </c>
      <c r="B201" s="84">
        <v>98794</v>
      </c>
      <c r="C201" s="84">
        <v>232</v>
      </c>
      <c r="D201" s="84">
        <v>0</v>
      </c>
      <c r="E201" s="85">
        <v>98</v>
      </c>
      <c r="F201" s="85">
        <v>96</v>
      </c>
      <c r="G201" s="85">
        <v>0</v>
      </c>
    </row>
    <row r="202" spans="1:7" ht="15" customHeight="1" x14ac:dyDescent="0.25">
      <c r="A202" s="87" t="s">
        <v>269</v>
      </c>
      <c r="B202" s="84">
        <v>4145</v>
      </c>
      <c r="C202" s="84">
        <v>306</v>
      </c>
      <c r="D202" s="84">
        <v>254</v>
      </c>
      <c r="E202" s="85">
        <v>86</v>
      </c>
      <c r="F202" s="85">
        <v>70</v>
      </c>
      <c r="G202" s="85">
        <v>90</v>
      </c>
    </row>
    <row r="203" spans="1:7" x14ac:dyDescent="0.25">
      <c r="A203" s="88" t="s">
        <v>43</v>
      </c>
      <c r="B203" s="84">
        <v>2732</v>
      </c>
      <c r="C203" s="84">
        <v>0</v>
      </c>
      <c r="D203" s="84">
        <v>0</v>
      </c>
      <c r="E203" s="85">
        <v>81</v>
      </c>
      <c r="F203" s="85">
        <v>0</v>
      </c>
      <c r="G203" s="85">
        <v>0</v>
      </c>
    </row>
    <row r="204" spans="1:7" x14ac:dyDescent="0.25">
      <c r="A204" s="88" t="s">
        <v>267</v>
      </c>
      <c r="B204" s="84">
        <v>1413</v>
      </c>
      <c r="C204" s="84">
        <v>306</v>
      </c>
      <c r="D204" s="84">
        <v>254</v>
      </c>
      <c r="E204" s="85">
        <v>91</v>
      </c>
      <c r="F204" s="85">
        <v>70</v>
      </c>
      <c r="G204" s="85">
        <v>90</v>
      </c>
    </row>
    <row r="205" spans="1:7" x14ac:dyDescent="0.25">
      <c r="A205" s="87" t="s">
        <v>206</v>
      </c>
      <c r="B205" s="84">
        <v>23297</v>
      </c>
      <c r="C205" s="84">
        <v>429</v>
      </c>
      <c r="D205" s="84">
        <v>839</v>
      </c>
      <c r="E205" s="85">
        <v>74</v>
      </c>
      <c r="F205" s="85">
        <v>76</v>
      </c>
      <c r="G205" s="85">
        <v>80</v>
      </c>
    </row>
    <row r="206" spans="1:7" x14ac:dyDescent="0.25">
      <c r="A206" s="88" t="s">
        <v>205</v>
      </c>
      <c r="B206" s="84">
        <v>23297</v>
      </c>
      <c r="C206" s="84">
        <v>429</v>
      </c>
      <c r="D206" s="84">
        <v>839</v>
      </c>
      <c r="E206" s="85">
        <v>74</v>
      </c>
      <c r="F206" s="85">
        <v>76</v>
      </c>
      <c r="G206" s="85">
        <v>80</v>
      </c>
    </row>
    <row r="207" spans="1:7" x14ac:dyDescent="0.25">
      <c r="A207" s="87" t="s">
        <v>168</v>
      </c>
      <c r="B207" s="84">
        <v>68600</v>
      </c>
      <c r="C207" s="84">
        <v>2046</v>
      </c>
      <c r="D207" s="84">
        <v>27429</v>
      </c>
      <c r="E207" s="85">
        <v>84.5</v>
      </c>
      <c r="F207" s="85">
        <v>80</v>
      </c>
      <c r="G207" s="85">
        <v>89</v>
      </c>
    </row>
    <row r="208" spans="1:7" ht="15" customHeight="1" x14ac:dyDescent="0.25">
      <c r="A208" s="88" t="s">
        <v>198</v>
      </c>
      <c r="B208" s="84">
        <v>53908</v>
      </c>
      <c r="C208" s="84">
        <v>1371</v>
      </c>
      <c r="D208" s="84">
        <v>25482</v>
      </c>
      <c r="E208" s="85">
        <v>92</v>
      </c>
      <c r="F208" s="85">
        <v>86</v>
      </c>
      <c r="G208" s="85">
        <v>90</v>
      </c>
    </row>
    <row r="209" spans="1:7" x14ac:dyDescent="0.25">
      <c r="A209" s="88" t="s">
        <v>167</v>
      </c>
      <c r="B209" s="84">
        <v>14692</v>
      </c>
      <c r="C209" s="84">
        <v>675</v>
      </c>
      <c r="D209" s="84">
        <v>1947</v>
      </c>
      <c r="E209" s="85">
        <v>77</v>
      </c>
      <c r="F209" s="85">
        <v>74</v>
      </c>
      <c r="G209" s="85">
        <v>88</v>
      </c>
    </row>
    <row r="210" spans="1:7" x14ac:dyDescent="0.25">
      <c r="A210" s="87" t="s">
        <v>7</v>
      </c>
      <c r="B210" s="84">
        <v>220342</v>
      </c>
      <c r="C210" s="84">
        <v>3126</v>
      </c>
      <c r="D210" s="84">
        <v>31252</v>
      </c>
      <c r="E210" s="85">
        <v>92.333333333333329</v>
      </c>
      <c r="F210" s="85">
        <v>90</v>
      </c>
      <c r="G210" s="85">
        <v>93</v>
      </c>
    </row>
    <row r="211" spans="1:7" x14ac:dyDescent="0.25">
      <c r="A211" s="88" t="s">
        <v>117</v>
      </c>
      <c r="B211" s="84">
        <v>21712</v>
      </c>
      <c r="C211" s="84">
        <v>673</v>
      </c>
      <c r="D211" s="84">
        <v>13098</v>
      </c>
      <c r="E211" s="85">
        <v>89</v>
      </c>
      <c r="F211" s="85">
        <v>86</v>
      </c>
      <c r="G211" s="85">
        <v>90</v>
      </c>
    </row>
    <row r="212" spans="1:7" x14ac:dyDescent="0.25">
      <c r="A212" s="88" t="s">
        <v>94</v>
      </c>
      <c r="B212" s="84">
        <v>34389</v>
      </c>
      <c r="C212" s="84">
        <v>453</v>
      </c>
      <c r="D212" s="84">
        <v>7136</v>
      </c>
      <c r="E212" s="85">
        <v>91</v>
      </c>
      <c r="F212" s="85">
        <v>86</v>
      </c>
      <c r="G212" s="85">
        <v>90</v>
      </c>
    </row>
    <row r="213" spans="1:7" x14ac:dyDescent="0.25">
      <c r="A213" s="88" t="s">
        <v>3</v>
      </c>
      <c r="B213" s="84">
        <v>164241</v>
      </c>
      <c r="C213" s="84">
        <v>2000</v>
      </c>
      <c r="D213" s="84">
        <v>11018</v>
      </c>
      <c r="E213" s="85">
        <v>97</v>
      </c>
      <c r="F213" s="85">
        <v>98</v>
      </c>
      <c r="G213" s="85">
        <v>99</v>
      </c>
    </row>
    <row r="214" spans="1:7" x14ac:dyDescent="0.25">
      <c r="A214" s="86" t="s">
        <v>17</v>
      </c>
      <c r="B214" s="84">
        <v>13764</v>
      </c>
      <c r="C214" s="84">
        <v>5101</v>
      </c>
      <c r="D214" s="84">
        <v>39109</v>
      </c>
      <c r="E214" s="85">
        <v>83.818181818181813</v>
      </c>
      <c r="F214" s="85">
        <v>87</v>
      </c>
      <c r="G214" s="85">
        <v>92.5</v>
      </c>
    </row>
    <row r="215" spans="1:7" x14ac:dyDescent="0.25">
      <c r="A215" s="87" t="s">
        <v>22</v>
      </c>
      <c r="B215" s="84">
        <v>1502</v>
      </c>
      <c r="C215" s="84">
        <v>512</v>
      </c>
      <c r="D215" s="84">
        <v>2323</v>
      </c>
      <c r="E215" s="85">
        <v>83.5</v>
      </c>
      <c r="F215" s="85">
        <v>83.5</v>
      </c>
      <c r="G215" s="85">
        <v>97.5</v>
      </c>
    </row>
    <row r="216" spans="1:7" ht="30" x14ac:dyDescent="0.25">
      <c r="A216" s="88" t="s">
        <v>40</v>
      </c>
      <c r="B216" s="84">
        <v>700</v>
      </c>
      <c r="C216" s="84">
        <v>184</v>
      </c>
      <c r="D216" s="84">
        <v>1348</v>
      </c>
      <c r="E216" s="85">
        <v>80</v>
      </c>
      <c r="F216" s="85">
        <v>81</v>
      </c>
      <c r="G216" s="85">
        <v>98</v>
      </c>
    </row>
    <row r="217" spans="1:7" ht="30" x14ac:dyDescent="0.25">
      <c r="A217" s="88" t="s">
        <v>42</v>
      </c>
      <c r="B217" s="84">
        <v>802</v>
      </c>
      <c r="C217" s="84">
        <v>328</v>
      </c>
      <c r="D217" s="84">
        <v>975</v>
      </c>
      <c r="E217" s="85">
        <v>87</v>
      </c>
      <c r="F217" s="85">
        <v>86</v>
      </c>
      <c r="G217" s="85">
        <v>97</v>
      </c>
    </row>
    <row r="218" spans="1:7" x14ac:dyDescent="0.25">
      <c r="A218" s="87" t="s">
        <v>76</v>
      </c>
      <c r="B218" s="84">
        <v>2598</v>
      </c>
      <c r="C218" s="84">
        <v>1091</v>
      </c>
      <c r="D218" s="84">
        <v>8102</v>
      </c>
      <c r="E218" s="85">
        <v>88</v>
      </c>
      <c r="F218" s="85">
        <v>90</v>
      </c>
      <c r="G218" s="85">
        <v>86</v>
      </c>
    </row>
    <row r="219" spans="1:7" x14ac:dyDescent="0.25">
      <c r="A219" s="88" t="s">
        <v>77</v>
      </c>
      <c r="B219" s="84">
        <v>33</v>
      </c>
      <c r="C219" s="84">
        <v>210</v>
      </c>
      <c r="D219" s="84">
        <v>523</v>
      </c>
      <c r="E219" s="85">
        <v>96</v>
      </c>
      <c r="F219" s="85">
        <v>92</v>
      </c>
      <c r="G219" s="85">
        <v>86</v>
      </c>
    </row>
    <row r="220" spans="1:7" x14ac:dyDescent="0.25">
      <c r="A220" s="88" t="s">
        <v>78</v>
      </c>
      <c r="B220" s="84">
        <v>54</v>
      </c>
      <c r="C220" s="84">
        <v>223</v>
      </c>
      <c r="D220" s="84">
        <v>578</v>
      </c>
      <c r="E220" s="85">
        <v>96</v>
      </c>
      <c r="F220" s="85">
        <v>92</v>
      </c>
      <c r="G220" s="85">
        <v>88</v>
      </c>
    </row>
    <row r="221" spans="1:7" x14ac:dyDescent="0.25">
      <c r="A221" s="88" t="s">
        <v>85</v>
      </c>
      <c r="B221" s="84">
        <v>1864</v>
      </c>
      <c r="C221" s="84">
        <v>618</v>
      </c>
      <c r="D221" s="84">
        <v>6933</v>
      </c>
      <c r="E221" s="85">
        <v>84</v>
      </c>
      <c r="F221" s="85">
        <v>90</v>
      </c>
      <c r="G221" s="85">
        <v>90</v>
      </c>
    </row>
    <row r="222" spans="1:7" x14ac:dyDescent="0.25">
      <c r="A222" s="88" t="s">
        <v>137</v>
      </c>
      <c r="B222" s="84">
        <v>647</v>
      </c>
      <c r="C222" s="84">
        <v>40</v>
      </c>
      <c r="D222" s="84">
        <v>68</v>
      </c>
      <c r="E222" s="85">
        <v>76</v>
      </c>
      <c r="F222" s="85">
        <v>86</v>
      </c>
      <c r="G222" s="85">
        <v>80</v>
      </c>
    </row>
    <row r="223" spans="1:7" x14ac:dyDescent="0.25">
      <c r="A223" s="87" t="s">
        <v>6</v>
      </c>
      <c r="B223" s="84">
        <v>8108</v>
      </c>
      <c r="C223" s="84">
        <v>2303</v>
      </c>
      <c r="D223" s="84">
        <v>28267</v>
      </c>
      <c r="E223" s="85">
        <v>98</v>
      </c>
      <c r="F223" s="85">
        <v>97</v>
      </c>
      <c r="G223" s="85">
        <v>99</v>
      </c>
    </row>
    <row r="224" spans="1:7" x14ac:dyDescent="0.25">
      <c r="A224" s="88" t="s">
        <v>19</v>
      </c>
      <c r="B224" s="84">
        <v>4907</v>
      </c>
      <c r="C224" s="84">
        <v>338</v>
      </c>
      <c r="D224" s="84">
        <v>11945</v>
      </c>
      <c r="E224" s="85">
        <v>99</v>
      </c>
      <c r="F224" s="85">
        <v>98</v>
      </c>
      <c r="G224" s="85">
        <v>99</v>
      </c>
    </row>
    <row r="225" spans="1:7" x14ac:dyDescent="0.25">
      <c r="A225" s="88" t="s">
        <v>16</v>
      </c>
      <c r="B225" s="84">
        <v>3201</v>
      </c>
      <c r="C225" s="84">
        <v>1965</v>
      </c>
      <c r="D225" s="84">
        <v>16322</v>
      </c>
      <c r="E225" s="85">
        <v>97</v>
      </c>
      <c r="F225" s="85">
        <v>96</v>
      </c>
      <c r="G225" s="85">
        <v>99</v>
      </c>
    </row>
    <row r="226" spans="1:7" x14ac:dyDescent="0.25">
      <c r="A226" s="87" t="s">
        <v>34</v>
      </c>
      <c r="B226" s="84">
        <v>561</v>
      </c>
      <c r="C226" s="84">
        <v>600</v>
      </c>
      <c r="D226" s="84">
        <v>0</v>
      </c>
      <c r="E226" s="85">
        <v>78</v>
      </c>
      <c r="F226" s="85">
        <v>80.5</v>
      </c>
      <c r="G226" s="85">
        <v>0</v>
      </c>
    </row>
    <row r="227" spans="1:7" x14ac:dyDescent="0.25">
      <c r="A227" s="88" t="s">
        <v>264</v>
      </c>
      <c r="B227" s="84">
        <v>561</v>
      </c>
      <c r="C227" s="84">
        <v>250</v>
      </c>
      <c r="D227" s="84">
        <v>0</v>
      </c>
      <c r="E227" s="85">
        <v>78</v>
      </c>
      <c r="F227" s="85">
        <v>78</v>
      </c>
      <c r="G227" s="85">
        <v>0</v>
      </c>
    </row>
    <row r="228" spans="1:7" x14ac:dyDescent="0.25">
      <c r="A228" s="88" t="s">
        <v>323</v>
      </c>
      <c r="B228" s="84">
        <v>0</v>
      </c>
      <c r="C228" s="84">
        <v>128</v>
      </c>
      <c r="D228" s="84">
        <v>0</v>
      </c>
      <c r="E228" s="85">
        <v>0</v>
      </c>
      <c r="F228" s="85">
        <v>76</v>
      </c>
      <c r="G228" s="85">
        <v>0</v>
      </c>
    </row>
    <row r="229" spans="1:7" x14ac:dyDescent="0.25">
      <c r="A229" s="88" t="s">
        <v>299</v>
      </c>
      <c r="B229" s="84">
        <v>0</v>
      </c>
      <c r="C229" s="84">
        <v>139</v>
      </c>
      <c r="D229" s="84">
        <v>0</v>
      </c>
      <c r="E229" s="85">
        <v>0</v>
      </c>
      <c r="F229" s="85">
        <v>88</v>
      </c>
      <c r="G229" s="85">
        <v>0</v>
      </c>
    </row>
    <row r="230" spans="1:7" x14ac:dyDescent="0.25">
      <c r="A230" s="88" t="s">
        <v>285</v>
      </c>
      <c r="B230" s="84">
        <v>0</v>
      </c>
      <c r="C230" s="84">
        <v>83</v>
      </c>
      <c r="D230" s="84">
        <v>0</v>
      </c>
      <c r="E230" s="85">
        <v>0</v>
      </c>
      <c r="F230" s="85">
        <v>80</v>
      </c>
      <c r="G230" s="85">
        <v>0</v>
      </c>
    </row>
    <row r="231" spans="1:7" x14ac:dyDescent="0.25">
      <c r="A231" s="87" t="s">
        <v>181</v>
      </c>
      <c r="B231" s="84">
        <v>963</v>
      </c>
      <c r="C231" s="84">
        <v>9</v>
      </c>
      <c r="D231" s="84">
        <v>86</v>
      </c>
      <c r="E231" s="85">
        <v>67</v>
      </c>
      <c r="F231" s="85">
        <v>88</v>
      </c>
      <c r="G231" s="85">
        <v>98</v>
      </c>
    </row>
    <row r="232" spans="1:7" x14ac:dyDescent="0.25">
      <c r="A232" s="88" t="s">
        <v>182</v>
      </c>
      <c r="B232" s="84">
        <v>963</v>
      </c>
      <c r="C232" s="84">
        <v>9</v>
      </c>
      <c r="D232" s="84">
        <v>86</v>
      </c>
      <c r="E232" s="85">
        <v>67</v>
      </c>
      <c r="F232" s="85">
        <v>88</v>
      </c>
      <c r="G232" s="85">
        <v>98</v>
      </c>
    </row>
    <row r="233" spans="1:7" x14ac:dyDescent="0.25">
      <c r="A233" s="87" t="s">
        <v>29</v>
      </c>
      <c r="B233" s="84">
        <v>32</v>
      </c>
      <c r="C233" s="84">
        <v>586</v>
      </c>
      <c r="D233" s="84">
        <v>331</v>
      </c>
      <c r="E233" s="85">
        <v>62</v>
      </c>
      <c r="F233" s="85">
        <v>87</v>
      </c>
      <c r="G233" s="85">
        <v>90</v>
      </c>
    </row>
    <row r="234" spans="1:7" x14ac:dyDescent="0.25">
      <c r="A234" s="88" t="s">
        <v>208</v>
      </c>
      <c r="B234" s="84">
        <v>32</v>
      </c>
      <c r="C234" s="84">
        <v>586</v>
      </c>
      <c r="D234" s="84">
        <v>331</v>
      </c>
      <c r="E234" s="85">
        <v>62</v>
      </c>
      <c r="F234" s="85">
        <v>87</v>
      </c>
      <c r="G234" s="85">
        <v>90</v>
      </c>
    </row>
    <row r="235" spans="1:7" x14ac:dyDescent="0.25">
      <c r="A235" s="86" t="s">
        <v>434</v>
      </c>
      <c r="B235" s="84">
        <v>2751630</v>
      </c>
      <c r="C235" s="84">
        <v>115164</v>
      </c>
      <c r="D235" s="84">
        <v>836818</v>
      </c>
      <c r="E235" s="85">
        <v>86.432000000000002</v>
      </c>
      <c r="F235" s="85">
        <v>85.795772357723592</v>
      </c>
      <c r="G235" s="85">
        <v>90.277777777777771</v>
      </c>
    </row>
  </sheetData>
  <sheetProtection algorithmName="SHA-512" hashValue="dI5vp0H8a1CPFk/2FgelD5S389JcVMBgr/4LyIApclvx0edRVcIVMwlt5v/Lt5sjWas9hoYgFBHsfUrmVjr2ZA==" saltValue="QtbcYp9kJSN7d3sl/P6usA==" spinCount="100000" sheet="1" scenarios="1" sort="0" autoFilter="0" pivotTables="0"/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ECD16-5989-4DBA-ACD3-40ECA75BF202}">
  <sheetPr codeName="List3"/>
  <dimension ref="A1:T81"/>
  <sheetViews>
    <sheetView topLeftCell="A46" workbookViewId="0">
      <selection activeCell="N2" sqref="N2"/>
    </sheetView>
  </sheetViews>
  <sheetFormatPr defaultRowHeight="15" x14ac:dyDescent="0.25"/>
  <cols>
    <col min="1" max="1" width="18.28515625" style="1" bestFit="1" customWidth="1"/>
    <col min="2" max="2" width="17.140625" style="1" customWidth="1"/>
    <col min="3" max="4" width="18.5703125" style="1" bestFit="1" customWidth="1"/>
    <col min="5" max="5" width="12.7109375" style="1" customWidth="1"/>
    <col min="6" max="6" width="25.5703125" style="1" customWidth="1"/>
    <col min="7" max="7" width="22" style="1" customWidth="1"/>
    <col min="8" max="8" width="15" style="1" customWidth="1"/>
    <col min="9" max="9" width="10.42578125" style="1" customWidth="1"/>
    <col min="10" max="10" width="15" style="1" customWidth="1"/>
    <col min="11" max="11" width="14.7109375" style="1" customWidth="1"/>
    <col min="12" max="12" width="15.5703125" style="1" customWidth="1"/>
    <col min="13" max="13" width="15.42578125" style="1" customWidth="1"/>
    <col min="14" max="14" width="14.85546875" style="1" customWidth="1"/>
    <col min="15" max="15" width="14.7109375" style="1" customWidth="1"/>
    <col min="16" max="16" width="11.5703125" style="1" customWidth="1"/>
    <col min="17" max="17" width="10.5703125" style="1" customWidth="1"/>
    <col min="18" max="18" width="10.85546875" style="1" customWidth="1"/>
    <col min="19" max="19" width="9.140625" style="1"/>
    <col min="20" max="20" width="9.140625" style="1" customWidth="1"/>
    <col min="21" max="16384" width="9.140625" style="1"/>
  </cols>
  <sheetData>
    <row r="1" spans="1:20" ht="30" x14ac:dyDescent="0.25">
      <c r="A1" s="71" t="s">
        <v>14</v>
      </c>
      <c r="B1" s="71" t="s">
        <v>13</v>
      </c>
      <c r="C1" s="71" t="s">
        <v>0</v>
      </c>
      <c r="D1" s="71" t="s">
        <v>1</v>
      </c>
      <c r="E1" s="72" t="s">
        <v>8</v>
      </c>
      <c r="F1" s="71" t="s">
        <v>2</v>
      </c>
      <c r="G1" s="71" t="s">
        <v>4</v>
      </c>
      <c r="H1" s="72" t="s">
        <v>5</v>
      </c>
      <c r="I1" s="72" t="s">
        <v>69</v>
      </c>
      <c r="J1" s="72" t="s">
        <v>18</v>
      </c>
      <c r="K1" s="72" t="s">
        <v>413</v>
      </c>
      <c r="L1" s="72" t="s">
        <v>412</v>
      </c>
      <c r="M1" s="72" t="s">
        <v>9</v>
      </c>
      <c r="N1" s="72" t="s">
        <v>10</v>
      </c>
      <c r="O1" s="72" t="s">
        <v>12</v>
      </c>
      <c r="P1" s="72" t="s">
        <v>414</v>
      </c>
      <c r="Q1" s="72" t="s">
        <v>415</v>
      </c>
      <c r="R1" s="72" t="s">
        <v>416</v>
      </c>
    </row>
    <row r="2" spans="1:20" x14ac:dyDescent="0.25">
      <c r="A2" s="48">
        <f>IF('Karta hry'!D7="",0,'Karta hry'!D7)</f>
        <v>0</v>
      </c>
      <c r="B2" s="48">
        <f>IF(ISERR(INDEX(B21:B22,B3)),0,INDEX(B21:B22,B3))</f>
        <v>0</v>
      </c>
      <c r="C2" s="48">
        <f>IF('Karta hry'!D13="",0,'Karta hry'!D13)</f>
        <v>0</v>
      </c>
      <c r="D2" s="48">
        <f>IF('Karta hry'!D15="",0,'Karta hry'!D15)</f>
        <v>0</v>
      </c>
      <c r="E2" s="49">
        <f>IF(ISBLANK('Karta hry'!D11),0,'Karta hry'!D11)</f>
        <v>0</v>
      </c>
      <c r="F2" s="50">
        <f>IF(ISERR(LEFT(T2,LEN(T2)-1)),0,LEFT(T2,LEN(T2)-1))</f>
        <v>0</v>
      </c>
      <c r="G2" s="50">
        <f>IF(ISERR(LEFT(T3,LEN(T3)-1)),0,LEFT(T3,LEN(T3)-1))</f>
        <v>0</v>
      </c>
      <c r="H2" s="51">
        <f>IF('Karta hry'!D17="",0,'Karta hry'!D17)</f>
        <v>0</v>
      </c>
      <c r="I2" s="48" t="str">
        <f>IF(ISERR(INDEX(I21:I26,I3,1)),"-",INDEX(I21:I26,I3,1))</f>
        <v>-</v>
      </c>
      <c r="J2" s="52" t="str">
        <f>IF(OR('Karta hry'!D23="",'Karta hry'!D23=-1),"-",'Karta hry'!D23)</f>
        <v>-</v>
      </c>
      <c r="K2" s="52" t="str">
        <f>IF(OR('Karta hry'!D25="",'Karta hry'!D25=-1),"-",'Karta hry'!D25)</f>
        <v>-</v>
      </c>
      <c r="L2" s="52" t="str">
        <f>IF(OR('Karta hry'!D27="",'Karta hry'!D27=-1),"-",'Karta hry'!D27)</f>
        <v>-</v>
      </c>
      <c r="M2" s="53" t="str">
        <f>IF(OR('Karta hry'!D29="",'Karta hry'!D29=-1),"-",'Karta hry'!D29)</f>
        <v>-</v>
      </c>
      <c r="N2" s="53" t="str">
        <f>IF(OR('Karta hry'!D31="",'Karta hry'!D31=-1),"-",'Karta hry'!D31)</f>
        <v>-</v>
      </c>
      <c r="O2" s="53" t="str">
        <f>IF(OR('Karta hry'!D33="",'Karta hry'!D33=-1),"-",'Karta hry'!D33)</f>
        <v>-</v>
      </c>
      <c r="P2" s="53" t="str">
        <f>IF(OR('Karta hry'!G23="",'Karta hry'!G23=-1),"-",'Karta hry'!G23)</f>
        <v>-</v>
      </c>
      <c r="Q2" s="53" t="str">
        <f>IF(OR('Karta hry'!G25="",'Karta hry'!G25=-1),"-",'Karta hry'!G25)</f>
        <v>-</v>
      </c>
      <c r="R2" s="53" t="str">
        <f>IF(OR('Karta hry'!G27="",'Karta hry'!G27=-1),"-",'Karta hry'!G27)</f>
        <v>-</v>
      </c>
      <c r="T2" s="1" t="str">
        <f>IF(F3=TRUE(),F21&amp;";","")&amp;IF(F4=TRUE(),F22&amp;";","")&amp;IF(F5=TRUE(),F23&amp;";","")&amp;IF(F6=TRUE(),F24&amp;";","")&amp;IF(F7=TRUE(),F25&amp;";","")&amp;IF(F8=TRUE(),F26&amp;";","")&amp;IF(F9=TRUE(),F27&amp;";","")&amp;IF(F10=TRUE(),F28&amp;";","")&amp;IF(F11=TRUE(),F29&amp;";","")&amp;IF(F12=TRUE(),F30&amp;";","")&amp;IF(F13=TRUE(),F31&amp;";","")&amp;IF(F14=TRUE(),F32&amp;";","")&amp;IF(F15=TRUE(),F33&amp;";","")&amp;IF(F16=TRUE(),F34&amp;";","")</f>
        <v/>
      </c>
    </row>
    <row r="3" spans="1:20" x14ac:dyDescent="0.25">
      <c r="B3" s="94"/>
      <c r="F3" s="94" t="b">
        <v>0</v>
      </c>
      <c r="G3" s="94" t="b">
        <v>0</v>
      </c>
      <c r="I3" s="94"/>
      <c r="T3" s="1" t="str">
        <f>IF(G3=TRUE(),G21&amp;";","")&amp;IF(G4=TRUE(),G22&amp;";","")&amp;IF(G5=TRUE(),G23&amp;";","")&amp;IF(G6=TRUE(),G24&amp;";","")&amp;IF(G7=TRUE(),G25&amp;";","")&amp;IF(G8=TRUE(),G26&amp;";","")&amp;IF(G9=TRUE(),G27&amp;";","")&amp;IF(G10=TRUE(),G28&amp;";","")&amp;IF(G11=TRUE(),G29&amp;";","")</f>
        <v/>
      </c>
    </row>
    <row r="4" spans="1:20" x14ac:dyDescent="0.25">
      <c r="F4" s="94" t="b">
        <v>0</v>
      </c>
      <c r="G4" s="94" t="b">
        <v>0</v>
      </c>
    </row>
    <row r="5" spans="1:20" x14ac:dyDescent="0.25">
      <c r="F5" s="94" t="b">
        <v>0</v>
      </c>
      <c r="G5" s="94" t="b">
        <v>0</v>
      </c>
    </row>
    <row r="6" spans="1:20" x14ac:dyDescent="0.25">
      <c r="F6" s="94" t="b">
        <v>0</v>
      </c>
      <c r="G6" s="94" t="b">
        <v>0</v>
      </c>
    </row>
    <row r="7" spans="1:20" x14ac:dyDescent="0.25">
      <c r="F7" s="94" t="b">
        <v>0</v>
      </c>
      <c r="G7" s="94" t="b">
        <v>0</v>
      </c>
    </row>
    <row r="8" spans="1:20" x14ac:dyDescent="0.25">
      <c r="F8" s="94" t="b">
        <v>0</v>
      </c>
      <c r="G8" s="94" t="b">
        <v>0</v>
      </c>
    </row>
    <row r="9" spans="1:20" x14ac:dyDescent="0.25">
      <c r="F9" s="94" t="b">
        <v>0</v>
      </c>
      <c r="G9" s="94" t="b">
        <v>0</v>
      </c>
    </row>
    <row r="10" spans="1:20" x14ac:dyDescent="0.25">
      <c r="F10" s="94" t="b">
        <v>0</v>
      </c>
      <c r="G10" s="94" t="b">
        <v>0</v>
      </c>
    </row>
    <row r="11" spans="1:20" x14ac:dyDescent="0.25">
      <c r="F11" s="94" t="b">
        <v>0</v>
      </c>
      <c r="G11" s="94" t="b">
        <v>0</v>
      </c>
    </row>
    <row r="12" spans="1:20" x14ac:dyDescent="0.25">
      <c r="F12" s="94" t="b">
        <v>0</v>
      </c>
      <c r="G12" s="94"/>
    </row>
    <row r="13" spans="1:20" x14ac:dyDescent="0.25">
      <c r="F13" s="94" t="b">
        <v>0</v>
      </c>
      <c r="G13" s="94"/>
    </row>
    <row r="14" spans="1:20" x14ac:dyDescent="0.25">
      <c r="F14" s="94" t="b">
        <v>0</v>
      </c>
      <c r="G14" s="94"/>
    </row>
    <row r="15" spans="1:20" x14ac:dyDescent="0.25">
      <c r="F15" s="94" t="b">
        <v>0</v>
      </c>
      <c r="G15" s="94"/>
    </row>
    <row r="16" spans="1:20" x14ac:dyDescent="0.25">
      <c r="F16" s="94" t="b">
        <v>0</v>
      </c>
      <c r="G16" s="94"/>
    </row>
    <row r="19" spans="1:10" x14ac:dyDescent="0.25">
      <c r="A19" s="36" t="s">
        <v>386</v>
      </c>
      <c r="B19" s="73"/>
      <c r="C19" s="73"/>
      <c r="D19" s="73"/>
      <c r="E19" s="73"/>
      <c r="F19" s="73"/>
      <c r="G19" s="73"/>
      <c r="H19" s="73"/>
      <c r="I19" s="73"/>
      <c r="J19" s="73"/>
    </row>
    <row r="20" spans="1:10" ht="24.75" x14ac:dyDescent="0.25">
      <c r="A20" s="73"/>
      <c r="B20" s="73" t="s">
        <v>388</v>
      </c>
      <c r="C20" s="73"/>
      <c r="D20" s="73"/>
      <c r="E20" s="73"/>
      <c r="F20" s="73" t="s">
        <v>387</v>
      </c>
      <c r="G20" s="73" t="s">
        <v>397</v>
      </c>
      <c r="H20" s="73"/>
      <c r="I20" s="74" t="s">
        <v>69</v>
      </c>
      <c r="J20" s="73"/>
    </row>
    <row r="21" spans="1:10" x14ac:dyDescent="0.25">
      <c r="A21" s="73"/>
      <c r="B21" s="73" t="s">
        <v>15</v>
      </c>
      <c r="C21" s="73"/>
      <c r="D21" s="73"/>
      <c r="E21" s="73"/>
      <c r="F21" s="73" t="s">
        <v>149</v>
      </c>
      <c r="G21" s="73" t="s">
        <v>46</v>
      </c>
      <c r="H21" s="73"/>
      <c r="I21" s="73" t="s">
        <v>68</v>
      </c>
      <c r="J21" s="73"/>
    </row>
    <row r="22" spans="1:10" x14ac:dyDescent="0.25">
      <c r="A22" s="73"/>
      <c r="B22" s="73" t="s">
        <v>17</v>
      </c>
      <c r="C22" s="73"/>
      <c r="D22" s="73"/>
      <c r="E22" s="73"/>
      <c r="F22" s="73" t="s">
        <v>67</v>
      </c>
      <c r="G22" s="73" t="s">
        <v>325</v>
      </c>
      <c r="H22" s="73"/>
      <c r="I22" s="73" t="s">
        <v>331</v>
      </c>
      <c r="J22" s="73"/>
    </row>
    <row r="23" spans="1:10" x14ac:dyDescent="0.25">
      <c r="A23" s="73"/>
      <c r="B23" s="73"/>
      <c r="C23" s="73"/>
      <c r="D23" s="73"/>
      <c r="E23" s="73"/>
      <c r="F23" s="73" t="s">
        <v>260</v>
      </c>
      <c r="G23" s="73" t="s">
        <v>28</v>
      </c>
      <c r="H23" s="73"/>
      <c r="I23" s="73" t="s">
        <v>333</v>
      </c>
      <c r="J23" s="73"/>
    </row>
    <row r="24" spans="1:10" x14ac:dyDescent="0.25">
      <c r="A24" s="73"/>
      <c r="B24" s="73"/>
      <c r="C24" s="73"/>
      <c r="D24" s="73"/>
      <c r="E24" s="73"/>
      <c r="F24" s="73" t="s">
        <v>391</v>
      </c>
      <c r="G24" s="73" t="s">
        <v>403</v>
      </c>
      <c r="H24" s="73"/>
      <c r="I24" s="73" t="s">
        <v>274</v>
      </c>
      <c r="J24" s="73"/>
    </row>
    <row r="25" spans="1:10" x14ac:dyDescent="0.25">
      <c r="A25" s="73"/>
      <c r="B25" s="73"/>
      <c r="C25" s="73"/>
      <c r="D25" s="73"/>
      <c r="E25" s="73"/>
      <c r="F25" s="73" t="s">
        <v>392</v>
      </c>
      <c r="G25" s="73" t="s">
        <v>398</v>
      </c>
      <c r="H25" s="73"/>
      <c r="I25" s="73" t="s">
        <v>389</v>
      </c>
      <c r="J25" s="73"/>
    </row>
    <row r="26" spans="1:10" x14ac:dyDescent="0.25">
      <c r="A26" s="73"/>
      <c r="B26" s="73"/>
      <c r="C26" s="73"/>
      <c r="D26" s="73"/>
      <c r="E26" s="73"/>
      <c r="F26" s="73" t="s">
        <v>302</v>
      </c>
      <c r="G26" s="73" t="s">
        <v>399</v>
      </c>
      <c r="H26" s="73"/>
      <c r="I26" s="73" t="s">
        <v>27</v>
      </c>
      <c r="J26" s="73"/>
    </row>
    <row r="27" spans="1:10" x14ac:dyDescent="0.25">
      <c r="A27" s="73"/>
      <c r="B27" s="73"/>
      <c r="C27" s="73"/>
      <c r="D27" s="73"/>
      <c r="E27" s="73"/>
      <c r="F27" s="73" t="s">
        <v>50</v>
      </c>
      <c r="G27" s="73" t="s">
        <v>402</v>
      </c>
      <c r="H27" s="73"/>
      <c r="I27" s="73"/>
      <c r="J27" s="73"/>
    </row>
    <row r="28" spans="1:10" x14ac:dyDescent="0.25">
      <c r="A28" s="73"/>
      <c r="B28" s="73"/>
      <c r="C28" s="73"/>
      <c r="D28" s="73"/>
      <c r="E28" s="73"/>
      <c r="F28" s="73" t="s">
        <v>393</v>
      </c>
      <c r="G28" s="73" t="s">
        <v>400</v>
      </c>
      <c r="H28" s="73"/>
      <c r="I28" s="73"/>
      <c r="J28" s="73"/>
    </row>
    <row r="29" spans="1:10" x14ac:dyDescent="0.25">
      <c r="A29" s="73"/>
      <c r="B29" s="73"/>
      <c r="C29" s="73"/>
      <c r="D29" s="73"/>
      <c r="E29" s="73"/>
      <c r="F29" s="73" t="s">
        <v>394</v>
      </c>
      <c r="G29" s="73" t="s">
        <v>401</v>
      </c>
      <c r="H29" s="73"/>
      <c r="I29" s="73"/>
      <c r="J29" s="73"/>
    </row>
    <row r="30" spans="1:10" x14ac:dyDescent="0.25">
      <c r="A30" s="73"/>
      <c r="B30" s="73"/>
      <c r="C30" s="73"/>
      <c r="D30" s="73"/>
      <c r="E30" s="73"/>
      <c r="F30" s="73" t="s">
        <v>185</v>
      </c>
      <c r="G30" s="73"/>
      <c r="H30" s="73"/>
      <c r="I30" s="73"/>
      <c r="J30" s="73"/>
    </row>
    <row r="31" spans="1:10" x14ac:dyDescent="0.25">
      <c r="A31" s="73"/>
      <c r="B31" s="73"/>
      <c r="C31" s="73"/>
      <c r="D31" s="73"/>
      <c r="E31" s="73"/>
      <c r="F31" s="73" t="s">
        <v>227</v>
      </c>
      <c r="G31" s="73"/>
      <c r="H31" s="73"/>
      <c r="I31" s="73"/>
      <c r="J31" s="73"/>
    </row>
    <row r="32" spans="1:10" x14ac:dyDescent="0.25">
      <c r="A32" s="73"/>
      <c r="B32" s="73"/>
      <c r="C32" s="73"/>
      <c r="D32" s="73"/>
      <c r="E32" s="73"/>
      <c r="F32" s="73" t="s">
        <v>395</v>
      </c>
      <c r="G32" s="73"/>
      <c r="H32" s="73"/>
      <c r="I32" s="73"/>
      <c r="J32" s="73"/>
    </row>
    <row r="33" spans="1:20" x14ac:dyDescent="0.25">
      <c r="A33" s="73"/>
      <c r="B33" s="73"/>
      <c r="C33" s="73"/>
      <c r="D33" s="73"/>
      <c r="E33" s="73"/>
      <c r="F33" s="73" t="s">
        <v>317</v>
      </c>
      <c r="G33" s="73"/>
      <c r="H33" s="73"/>
      <c r="I33" s="73"/>
      <c r="J33" s="73"/>
    </row>
    <row r="34" spans="1:20" x14ac:dyDescent="0.25">
      <c r="A34" s="73"/>
      <c r="B34" s="73"/>
      <c r="C34" s="73"/>
      <c r="D34" s="73"/>
      <c r="E34" s="73"/>
      <c r="F34" s="73" t="s">
        <v>396</v>
      </c>
      <c r="G34" s="73"/>
      <c r="H34" s="73"/>
      <c r="I34" s="73"/>
      <c r="J34" s="73" t="str">
        <f t="shared" ref="J34" si="0">IF(F17=TRUE(),F35&amp;";","")</f>
        <v/>
      </c>
    </row>
    <row r="35" spans="1:20" x14ac:dyDescent="0.25">
      <c r="A35" s="73"/>
      <c r="B35" s="73"/>
      <c r="C35" s="73"/>
      <c r="D35" s="73"/>
      <c r="E35" s="73"/>
      <c r="F35" s="73"/>
      <c r="G35" s="73"/>
      <c r="H35" s="73"/>
      <c r="I35" s="73"/>
      <c r="J35" s="73"/>
    </row>
    <row r="36" spans="1:20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</row>
    <row r="37" spans="1:20" x14ac:dyDescent="0.25">
      <c r="A37" s="36" t="s">
        <v>420</v>
      </c>
      <c r="B37" s="73"/>
      <c r="C37" s="73"/>
      <c r="D37" s="73"/>
      <c r="E37" s="73"/>
      <c r="F37" s="73"/>
      <c r="G37" s="73"/>
      <c r="H37" s="73"/>
      <c r="I37" s="73"/>
      <c r="J37" s="73"/>
    </row>
    <row r="38" spans="1:20" ht="24.75" x14ac:dyDescent="0.25">
      <c r="A38" s="73"/>
      <c r="B38" s="73" t="s">
        <v>2</v>
      </c>
      <c r="C38" s="73" t="s">
        <v>4</v>
      </c>
      <c r="D38" s="73" t="s">
        <v>424</v>
      </c>
      <c r="E38" s="73" t="s">
        <v>8</v>
      </c>
      <c r="F38" s="73"/>
      <c r="G38" s="73" t="s">
        <v>2</v>
      </c>
      <c r="H38" s="73" t="s">
        <v>4</v>
      </c>
      <c r="I38" s="74" t="s">
        <v>69</v>
      </c>
      <c r="J38" s="73" t="s">
        <v>8</v>
      </c>
      <c r="K38" s="73"/>
    </row>
    <row r="39" spans="1:20" x14ac:dyDescent="0.25">
      <c r="A39" s="73"/>
      <c r="B39" s="101" t="b">
        <v>0</v>
      </c>
      <c r="C39" s="101" t="b">
        <v>0</v>
      </c>
      <c r="D39" s="101"/>
      <c r="E39" s="75" t="str">
        <f>IF(ISBLANK(Data!F5),"",Data!F5)</f>
        <v/>
      </c>
      <c r="F39" s="73"/>
      <c r="G39" s="76" t="str">
        <f>IF(B53="","**",B53)</f>
        <v>**</v>
      </c>
      <c r="H39" s="76" t="str">
        <f>IF(C53="","**",C53)</f>
        <v>**</v>
      </c>
      <c r="I39" s="73" t="str">
        <f>IF(ISERR(INDEX(I21:I26,D39)),"**",INDEX(I21:I26,D39))</f>
        <v>**</v>
      </c>
      <c r="J39" s="77" t="str">
        <f>IF(E39="","&gt;="&amp;TEXT("1.1.1900","0"),"&gt;="&amp;TEXT(E39,"0"))</f>
        <v>&gt;=1</v>
      </c>
      <c r="T39" s="78" t="str">
        <f>IF(B39=TRUE(),F21&amp;";","")&amp;IF(B40=TRUE(),F22&amp;";","")&amp;IF(B41=TRUE(),F23&amp;";","")&amp;IF(B42=TRUE(),F24&amp;";","")&amp;IF(B43=TRUE(),F25&amp;";","")&amp;IF(B44=TRUE(),F26&amp;";","")&amp;IF(B45=TRUE(),F27&amp;";","")&amp;IF(B46=TRUE(),F28&amp;";","")&amp;IF(B47=TRUE(),F29&amp;";","")&amp;IF(B48=TRUE(),F30&amp;";","")&amp;IF(B49=TRUE(),F31&amp;";","")&amp;IF(B50=TRUE(),F32&amp;";","")&amp;IF(B51=TRUE(),F33&amp;";","")&amp;IF(B52=TRUE(),F34&amp;";","")</f>
        <v/>
      </c>
    </row>
    <row r="40" spans="1:20" x14ac:dyDescent="0.25">
      <c r="A40" s="73"/>
      <c r="B40" s="101" t="b">
        <v>0</v>
      </c>
      <c r="C40" s="101" t="b">
        <v>0</v>
      </c>
      <c r="D40" s="73"/>
      <c r="E40" s="73"/>
      <c r="F40" s="73"/>
      <c r="G40" s="73"/>
      <c r="H40" s="73"/>
      <c r="I40" s="73"/>
      <c r="J40" s="77"/>
      <c r="T40" s="1" t="str">
        <f>IF(C39=TRUE(),G21&amp;";","")&amp;IF(C40=TRUE(),G22&amp;";","")&amp;IF(C41=TRUE(),G23&amp;";","")&amp;IF(C42=TRUE(),G24&amp;";","")&amp;IF(C43=TRUE(),G25&amp;";","")&amp;IF(C44=TRUE(),G26&amp;";","")&amp;IF(C45=TRUE(),G27&amp;";","")&amp;IF(C46=TRUE(),G28&amp;";","")&amp;IF(C47=TRUE(),G29&amp;";","")</f>
        <v/>
      </c>
    </row>
    <row r="41" spans="1:20" x14ac:dyDescent="0.25">
      <c r="A41" s="73"/>
      <c r="B41" s="101" t="b">
        <v>0</v>
      </c>
      <c r="C41" s="101" t="b">
        <v>0</v>
      </c>
      <c r="D41" s="73"/>
      <c r="E41" s="73"/>
      <c r="F41" s="73"/>
      <c r="G41" s="73"/>
      <c r="H41" s="73"/>
      <c r="I41" s="73"/>
      <c r="J41" s="77"/>
    </row>
    <row r="42" spans="1:20" x14ac:dyDescent="0.25">
      <c r="A42" s="73"/>
      <c r="B42" s="101" t="b">
        <v>0</v>
      </c>
      <c r="C42" s="101" t="b">
        <v>0</v>
      </c>
      <c r="D42" s="73"/>
      <c r="E42" s="73"/>
      <c r="F42" s="73"/>
      <c r="G42" s="73"/>
      <c r="H42" s="73"/>
      <c r="I42" s="73"/>
      <c r="J42" s="77"/>
    </row>
    <row r="43" spans="1:20" x14ac:dyDescent="0.25">
      <c r="A43" s="73"/>
      <c r="B43" s="101" t="b">
        <v>0</v>
      </c>
      <c r="C43" s="101" t="b">
        <v>0</v>
      </c>
      <c r="D43" s="73"/>
      <c r="E43" s="73"/>
      <c r="F43" s="73"/>
      <c r="G43" s="73"/>
      <c r="H43" s="73"/>
      <c r="I43" s="73"/>
      <c r="J43" s="77"/>
    </row>
    <row r="44" spans="1:20" x14ac:dyDescent="0.25">
      <c r="A44" s="73"/>
      <c r="B44" s="101" t="b">
        <v>0</v>
      </c>
      <c r="C44" s="101" t="b">
        <v>0</v>
      </c>
      <c r="D44" s="73"/>
      <c r="E44" s="73"/>
      <c r="F44" s="73"/>
      <c r="G44" s="73"/>
      <c r="H44" s="73"/>
      <c r="I44" s="73"/>
      <c r="J44" s="77"/>
    </row>
    <row r="45" spans="1:20" x14ac:dyDescent="0.25">
      <c r="A45" s="73"/>
      <c r="B45" s="101" t="b">
        <v>0</v>
      </c>
      <c r="C45" s="101" t="b">
        <v>0</v>
      </c>
      <c r="D45" s="73"/>
      <c r="E45" s="73"/>
      <c r="F45" s="73"/>
      <c r="G45" s="73"/>
      <c r="H45" s="73"/>
      <c r="I45" s="73"/>
      <c r="J45" s="77"/>
    </row>
    <row r="46" spans="1:20" x14ac:dyDescent="0.25">
      <c r="A46" s="73"/>
      <c r="B46" s="101" t="b">
        <v>0</v>
      </c>
      <c r="C46" s="101" t="b">
        <v>0</v>
      </c>
      <c r="D46" s="73"/>
      <c r="E46" s="73"/>
      <c r="F46" s="73"/>
      <c r="G46" s="73"/>
      <c r="H46" s="73"/>
      <c r="I46" s="73"/>
      <c r="J46" s="77"/>
    </row>
    <row r="47" spans="1:20" x14ac:dyDescent="0.25">
      <c r="A47" s="73"/>
      <c r="B47" s="101" t="b">
        <v>0</v>
      </c>
      <c r="C47" s="101" t="b">
        <v>0</v>
      </c>
      <c r="D47" s="73"/>
      <c r="E47" s="73"/>
      <c r="F47" s="73"/>
      <c r="G47" s="73"/>
      <c r="H47" s="73"/>
      <c r="I47" s="73"/>
      <c r="J47" s="77"/>
    </row>
    <row r="48" spans="1:20" x14ac:dyDescent="0.25">
      <c r="A48" s="73"/>
      <c r="B48" s="101" t="b">
        <v>0</v>
      </c>
      <c r="C48" s="73"/>
      <c r="D48" s="73"/>
      <c r="E48" s="73"/>
      <c r="F48" s="73"/>
      <c r="G48" s="73"/>
      <c r="H48" s="73"/>
      <c r="I48" s="73"/>
      <c r="J48" s="73"/>
    </row>
    <row r="49" spans="1:10" x14ac:dyDescent="0.25">
      <c r="A49" s="73"/>
      <c r="B49" s="101" t="b">
        <v>0</v>
      </c>
      <c r="C49" s="73"/>
      <c r="D49" s="73"/>
      <c r="E49" s="73"/>
      <c r="F49" s="73"/>
      <c r="G49" s="73"/>
      <c r="H49" s="73"/>
      <c r="I49" s="73"/>
      <c r="J49" s="73"/>
    </row>
    <row r="50" spans="1:10" x14ac:dyDescent="0.25">
      <c r="A50" s="73"/>
      <c r="B50" s="101" t="b">
        <v>0</v>
      </c>
      <c r="C50" s="73"/>
      <c r="D50" s="73"/>
      <c r="E50" s="73"/>
      <c r="F50" s="73"/>
      <c r="G50" s="73"/>
      <c r="H50" s="73"/>
      <c r="I50" s="73"/>
      <c r="J50" s="73"/>
    </row>
    <row r="51" spans="1:10" x14ac:dyDescent="0.25">
      <c r="A51" s="73"/>
      <c r="B51" s="101" t="b">
        <v>0</v>
      </c>
      <c r="C51" s="73"/>
      <c r="D51" s="73"/>
      <c r="E51" s="73"/>
      <c r="F51" s="73"/>
      <c r="G51" s="73"/>
      <c r="H51" s="73"/>
      <c r="I51" s="73"/>
      <c r="J51" s="73"/>
    </row>
    <row r="52" spans="1:10" x14ac:dyDescent="0.25">
      <c r="A52" s="73"/>
      <c r="B52" s="101" t="b">
        <v>0</v>
      </c>
      <c r="C52" s="73"/>
      <c r="D52" s="73"/>
      <c r="E52" s="73"/>
      <c r="F52" s="73"/>
      <c r="G52" s="73"/>
      <c r="H52" s="73"/>
      <c r="I52" s="73"/>
      <c r="J52" s="73"/>
    </row>
    <row r="53" spans="1:10" x14ac:dyDescent="0.25">
      <c r="A53" s="73"/>
      <c r="B53" s="73" t="str">
        <f>IF(ISERR(LEFT($T$39,LEN($T$39)-1)),"","*"&amp;LEFT($T$39,LEN($T$39)-1)&amp;"*")</f>
        <v/>
      </c>
      <c r="C53" s="73" t="str">
        <f>IF(ISERR(LEFT($T$40,LEN($T$40)-1)),"","*"&amp;LEFT($T$40,LEN($T$40)-1)&amp;"*")</f>
        <v/>
      </c>
      <c r="D53" s="73"/>
      <c r="E53" s="73"/>
      <c r="F53" s="73"/>
      <c r="G53" s="73"/>
      <c r="H53" s="73"/>
      <c r="I53" s="73"/>
      <c r="J53" s="73"/>
    </row>
    <row r="54" spans="1:10" x14ac:dyDescent="0.25">
      <c r="A54" s="73"/>
      <c r="B54" s="73"/>
      <c r="C54" s="73"/>
      <c r="D54" s="73"/>
      <c r="E54" s="73"/>
      <c r="F54" s="73"/>
      <c r="G54" s="73"/>
      <c r="H54" s="73"/>
      <c r="I54" s="73"/>
      <c r="J54" s="73"/>
    </row>
    <row r="55" spans="1:10" x14ac:dyDescent="0.25">
      <c r="A55" s="73"/>
      <c r="B55" s="73"/>
      <c r="C55" s="73"/>
      <c r="D55" s="73"/>
      <c r="E55" s="73"/>
      <c r="F55" s="73"/>
      <c r="G55" s="73"/>
      <c r="H55" s="73"/>
      <c r="I55" s="73"/>
      <c r="J55" s="73"/>
    </row>
    <row r="56" spans="1:10" x14ac:dyDescent="0.25">
      <c r="A56" s="36" t="s">
        <v>429</v>
      </c>
      <c r="B56" s="73"/>
      <c r="C56" s="73"/>
      <c r="D56" s="73"/>
      <c r="E56" s="73"/>
      <c r="F56" s="73"/>
      <c r="G56" s="73"/>
      <c r="H56" s="73"/>
      <c r="I56" s="73"/>
      <c r="J56" s="73"/>
    </row>
    <row r="57" spans="1:10" ht="24.75" x14ac:dyDescent="0.25">
      <c r="A57" s="73"/>
      <c r="B57" s="74" t="s">
        <v>426</v>
      </c>
      <c r="C57" s="101">
        <v>88</v>
      </c>
      <c r="D57" s="73">
        <f>IF(E57="",101,E57)</f>
        <v>101</v>
      </c>
      <c r="E57" s="73" t="str">
        <f>IF(OR(Data!$H$4&lt;0,Data!$H$4=""),"",Data!$H$4)</f>
        <v/>
      </c>
    </row>
    <row r="58" spans="1:10" ht="24.75" x14ac:dyDescent="0.25">
      <c r="A58" s="73"/>
      <c r="B58" s="74" t="s">
        <v>427</v>
      </c>
      <c r="C58" s="101">
        <v>87</v>
      </c>
      <c r="D58" s="73">
        <f t="shared" ref="D58:D59" si="1">IF(E58="",101,E58)</f>
        <v>101</v>
      </c>
      <c r="E58" s="73" t="str">
        <f>IF(OR(Data!$H$6&lt;0,Data!$H$6=""),"",Data!$H$6)</f>
        <v/>
      </c>
    </row>
    <row r="59" spans="1:10" ht="30.75" customHeight="1" x14ac:dyDescent="0.25">
      <c r="A59" s="73"/>
      <c r="B59" s="74" t="s">
        <v>428</v>
      </c>
      <c r="C59" s="101">
        <v>89</v>
      </c>
      <c r="D59" s="73">
        <f t="shared" si="1"/>
        <v>101</v>
      </c>
      <c r="E59" s="73" t="str">
        <f>IF(OR(Data!$H$8&lt;0,Data!$H$8=""),"",Data!$H$8)</f>
        <v/>
      </c>
    </row>
    <row r="60" spans="1:10" ht="24.75" x14ac:dyDescent="0.25">
      <c r="A60" s="73"/>
      <c r="B60" s="74" t="s">
        <v>383</v>
      </c>
      <c r="C60" s="101">
        <v>53</v>
      </c>
      <c r="D60" s="73">
        <f>IF(Data!$L$4=0,Data!$L$4+501,Data!$L$4)</f>
        <v>501</v>
      </c>
      <c r="E60" s="73"/>
    </row>
    <row r="61" spans="1:10" x14ac:dyDescent="0.25">
      <c r="A61" s="73"/>
      <c r="B61" s="73"/>
      <c r="C61" s="73"/>
      <c r="D61" s="73"/>
      <c r="E61" s="73"/>
    </row>
    <row r="62" spans="1:10" x14ac:dyDescent="0.25">
      <c r="A62" s="36" t="s">
        <v>432</v>
      </c>
      <c r="B62" s="73"/>
      <c r="C62" s="73"/>
      <c r="D62" s="73"/>
      <c r="E62" s="73"/>
    </row>
    <row r="63" spans="1:10" x14ac:dyDescent="0.25">
      <c r="A63" s="73"/>
      <c r="B63" s="73" t="s">
        <v>417</v>
      </c>
      <c r="C63" s="101"/>
      <c r="D63" s="73">
        <f>IF(HLOOKUP("Počet prodaných kusů (PC)",Data!A13:R167,MATCH("*"&amp;Data!$O$4&amp;"*",Data!A14:A167,0)+1,FALSE)="-",0,HLOOKUP("Počet prodaných kusů (PC)",Data!A13:R167,MATCH(IF("*"&amp;Data!$O$4&amp;"*"="**","","*"&amp;Data!$O$4&amp;"*"),Data!A14:A167,0)+1,FALSE))</f>
        <v>0</v>
      </c>
      <c r="E63" s="73">
        <f>IF(ISNA(D63),0,D63)</f>
        <v>0</v>
      </c>
      <c r="G63" s="1" t="str">
        <f>HLOOKUP("Název",Data!A13:R167,MATCH("*"&amp;Data!$O$4&amp;"*",Data!A14:A167,0)+1,)</f>
        <v xml:space="preserve">Super Smash Bros. Ultimate </v>
      </c>
    </row>
    <row r="64" spans="1:10" x14ac:dyDescent="0.25">
      <c r="A64" s="73"/>
      <c r="B64" s="73" t="s">
        <v>418</v>
      </c>
      <c r="C64" s="101"/>
      <c r="D64" s="73">
        <f>IF(HLOOKUP("Počet prodaných kusů (X1)",Data!A13:R167,MATCH("*"&amp;Data!$O$4&amp;"*",Data!A14:A167,0)+1,FALSE)="-",0,HLOOKUP("Počet prodaných kusů (X1)",Data!A13:R167,MATCH(IF("*"&amp;Data!$O$4&amp;"*"="**","","*"&amp;Data!$O$4&amp;"*"),Data!A14:A167,0)+1,FALSE))</f>
        <v>0</v>
      </c>
      <c r="E64" s="73">
        <f>IF(ISNA(D64),0,D64)</f>
        <v>0</v>
      </c>
    </row>
    <row r="65" spans="1:8" x14ac:dyDescent="0.25">
      <c r="A65" s="73"/>
      <c r="B65" s="73" t="s">
        <v>419</v>
      </c>
      <c r="C65" s="101"/>
      <c r="D65" s="73">
        <f>IF(HLOOKUP("Počet prodaných kusů (PS4)",Data!A13:R167,MATCH("*"&amp;Data!$O$4&amp;"*",Data!A14:A167,0)+1,FALSE)="-",0,HLOOKUP("Počet prodaných kusů (PS4)",Data!A13:R167,MATCH(IF("*"&amp;Data!$O$4&amp;"*"="**","","*"&amp;Data!$O$4&amp;"*"),Data!A14:A167,0)+1,FALSE))</f>
        <v>0</v>
      </c>
      <c r="E65" s="73">
        <f>IF(ISNA(D65),0,D65)</f>
        <v>0</v>
      </c>
    </row>
    <row r="66" spans="1:8" x14ac:dyDescent="0.25">
      <c r="A66" s="73"/>
      <c r="B66" s="73"/>
      <c r="C66" s="73"/>
      <c r="D66" s="73"/>
      <c r="E66" s="73"/>
    </row>
    <row r="67" spans="1:8" x14ac:dyDescent="0.25">
      <c r="A67" s="73"/>
      <c r="B67" s="73"/>
      <c r="C67" s="73"/>
      <c r="D67" s="73"/>
      <c r="E67" s="73"/>
    </row>
    <row r="68" spans="1:8" x14ac:dyDescent="0.25">
      <c r="A68" s="36" t="s">
        <v>438</v>
      </c>
      <c r="B68" s="73"/>
    </row>
    <row r="69" spans="1:8" x14ac:dyDescent="0.25">
      <c r="B69" s="79" t="s">
        <v>439</v>
      </c>
      <c r="C69" s="101">
        <v>2</v>
      </c>
      <c r="D69" s="73"/>
      <c r="E69" s="73"/>
    </row>
    <row r="70" spans="1:8" x14ac:dyDescent="0.25">
      <c r="B70" s="80" t="s">
        <v>440</v>
      </c>
      <c r="C70" s="73"/>
      <c r="D70" s="73"/>
      <c r="E70" s="73"/>
    </row>
    <row r="71" spans="1:8" x14ac:dyDescent="0.25">
      <c r="B71" s="81" t="s">
        <v>441</v>
      </c>
      <c r="C71" s="73"/>
      <c r="D71" s="73"/>
      <c r="E71" s="73"/>
    </row>
    <row r="74" spans="1:8" x14ac:dyDescent="0.25">
      <c r="A74" s="36"/>
      <c r="B74" s="73"/>
      <c r="C74" s="73"/>
      <c r="D74" s="73"/>
      <c r="E74" s="73"/>
      <c r="F74" s="73"/>
      <c r="G74" s="73"/>
      <c r="H74" s="73"/>
    </row>
    <row r="75" spans="1:8" x14ac:dyDescent="0.25">
      <c r="A75" s="73"/>
      <c r="B75" s="73"/>
      <c r="C75" s="73"/>
      <c r="D75" s="73"/>
      <c r="E75" s="73"/>
      <c r="F75" s="73"/>
      <c r="G75" s="73"/>
      <c r="H75" s="73"/>
    </row>
    <row r="76" spans="1:8" x14ac:dyDescent="0.25">
      <c r="A76" s="73"/>
      <c r="B76" s="73"/>
      <c r="C76" s="73"/>
      <c r="D76" s="73"/>
      <c r="E76" s="73"/>
      <c r="F76" s="73"/>
      <c r="G76" s="73"/>
      <c r="H76" s="73"/>
    </row>
    <row r="77" spans="1:8" x14ac:dyDescent="0.25">
      <c r="A77" s="73"/>
      <c r="B77" s="73"/>
      <c r="C77" s="73"/>
      <c r="D77" s="73"/>
      <c r="E77" s="73"/>
      <c r="F77" s="73"/>
      <c r="G77" s="73"/>
      <c r="H77" s="73"/>
    </row>
    <row r="78" spans="1:8" x14ac:dyDescent="0.25">
      <c r="A78" s="73"/>
      <c r="B78" s="73"/>
      <c r="C78" s="73"/>
      <c r="D78" s="73"/>
      <c r="E78" s="73"/>
      <c r="F78" s="73"/>
      <c r="G78" s="73"/>
      <c r="H78" s="73"/>
    </row>
    <row r="79" spans="1:8" x14ac:dyDescent="0.25">
      <c r="A79" s="73"/>
      <c r="B79" s="73"/>
      <c r="C79" s="73"/>
      <c r="D79" s="73"/>
      <c r="E79" s="73"/>
      <c r="F79" s="73"/>
      <c r="G79" s="73"/>
      <c r="H79" s="73"/>
    </row>
    <row r="80" spans="1:8" x14ac:dyDescent="0.25">
      <c r="A80" s="73"/>
      <c r="B80" s="73"/>
      <c r="C80" s="73"/>
      <c r="D80" s="73"/>
      <c r="E80" s="73"/>
      <c r="F80" s="73"/>
      <c r="G80" s="73"/>
      <c r="H80" s="73"/>
    </row>
    <row r="81" spans="1:8" x14ac:dyDescent="0.25">
      <c r="A81" s="73"/>
      <c r="B81" s="73"/>
      <c r="C81" s="73"/>
      <c r="D81" s="73"/>
      <c r="E81" s="73"/>
      <c r="F81" s="73"/>
      <c r="G81" s="73"/>
      <c r="H81" s="73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9</vt:i4>
      </vt:variant>
      <vt:variant>
        <vt:lpstr>Pojmenované oblasti</vt:lpstr>
      </vt:variant>
      <vt:variant>
        <vt:i4>1</vt:i4>
      </vt:variant>
    </vt:vector>
  </HeadingPairs>
  <TitlesOfParts>
    <vt:vector size="10" baseType="lpstr">
      <vt:lpstr>Úvodní list</vt:lpstr>
      <vt:lpstr>Karta hry</vt:lpstr>
      <vt:lpstr>Data</vt:lpstr>
      <vt:lpstr>Výpočty</vt:lpstr>
      <vt:lpstr>KT1</vt:lpstr>
      <vt:lpstr>KT2</vt:lpstr>
      <vt:lpstr>KT3</vt:lpstr>
      <vt:lpstr>KT4</vt:lpstr>
      <vt:lpstr>Pomocný list</vt:lpstr>
      <vt:lpstr>Kriteria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moum02 - 4it110 - semestrální práce</dc:title>
  <dc:creator>moum02@vse.cz</dc:creator>
  <cp:lastModifiedBy>Michal Moudrý</cp:lastModifiedBy>
  <dcterms:created xsi:type="dcterms:W3CDTF">2015-06-05T18:19:34Z</dcterms:created>
  <dcterms:modified xsi:type="dcterms:W3CDTF">2019-01-21T06:36:56Z</dcterms:modified>
</cp:coreProperties>
</file>